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Overview" sheetId="1" state="visible" r:id="rId1"/>
    <sheet name="Dataset" sheetId="2" state="visible" r:id="rId2"/>
    <sheet name="Experiment_Configs" sheetId="3" state="visible" r:id="rId3"/>
    <sheet name="Final_Results" sheetId="4" state="visible" r:id="rId4"/>
    <sheet name="Ablation_Study" sheetId="5" state="visible" r:id="rId5"/>
    <sheet name="SOTA_Comparison" sheetId="6" state="visible" r:id="rId6"/>
    <sheet name="Per_Category_Analysis" sheetId="7" state="visible" r:id="rId7"/>
    <sheet name="Training_Curves" sheetId="8" state="visible" r:id="rId8"/>
    <sheet name="Charts" sheetId="9" state="visible" r:id="rId9"/>
    <sheet name="Scatter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Comparison: MAE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'Final_Results'!C1</f>
            </strRef>
          </tx>
          <spPr>
            <a:ln>
              <a:prstDash val="solid"/>
            </a:ln>
          </spPr>
          <cat>
            <numRef>
              <f>'Final_Results'!$A$2:$A$5</f>
            </numRef>
          </cat>
          <val>
            <numRef>
              <f>'Final_Results'!$C$2:$C$5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TAMAN Training Curves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'Training_Curves'!B1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'Training_Curves'!$A$2:$A$16</f>
            </numRef>
          </cat>
          <val>
            <numRef>
              <f>'Training_Curves'!$B$2:$B$16</f>
            </numRef>
          </val>
        </ser>
        <ser>
          <idx val="1"/>
          <order val="1"/>
          <tx>
            <strRef>
              <f>'Training_Curves'!C1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'Training_Curves'!$A$2:$A$16</f>
            </numRef>
          </cat>
          <val>
            <numRef>
              <f>'Training_Curves'!$C$2:$C$16</f>
            </numRef>
          </val>
        </ser>
        <ser>
          <idx val="2"/>
          <order val="2"/>
          <tx>
            <strRef>
              <f>'Training_Curves'!D1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'Training_Curves'!$A$2:$A$16</f>
            </numRef>
          </cat>
          <val>
            <numRef>
              <f>'Training_Curves'!$D$2:$D$16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Per-Category MAE (TAMAN)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'Per_Category_Analysis'!C1</f>
            </strRef>
          </tx>
          <spPr>
            <a:ln>
              <a:prstDash val="solid"/>
            </a:ln>
          </spPr>
          <cat>
            <numRef>
              <f>'Per_Category_Analysis'!$A$2:$A$7</f>
            </numRef>
          </cat>
          <val>
            <numRef>
              <f>'Per_Category_Analysis'!$C$2:$C$7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Predicted vs Actual (v3 sample)</a:t>
            </a:r>
          </a:p>
        </rich>
      </tx>
    </title>
    <plotArea>
      <scatterChart>
        <ser>
          <idx val="0"/>
          <order val="0"/>
          <tx>
            <v>v3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'Scatter_Data'!$A$2:$A$501</f>
            </numRef>
          </xVal>
          <yVal>
            <numRef>
              <f>'Scatter_Data'!$B$2:$B$501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AQI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AQI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19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AeroSight-AQI TAMAN Experiment Workbook</t>
        </is>
      </c>
    </row>
    <row r="2"/>
    <row r="3">
      <c r="A3" t="inlineStr">
        <is>
          <t>Purpose</t>
        </is>
      </c>
      <c r="B3" t="inlineStr">
        <is>
          <t>Standard ML experiment workbook for dataset, configs, results, ablations, and charts.</t>
        </is>
      </c>
    </row>
    <row r="4">
      <c r="A4" t="inlineStr">
        <is>
          <t>Project</t>
        </is>
      </c>
      <c r="B4" t="inlineStr">
        <is>
          <t>Multimodal AQI regression with v3/v4 baselines and TAMAN-R18 temporal model.</t>
        </is>
      </c>
    </row>
    <row r="5">
      <c r="A5" t="inlineStr">
        <is>
          <t>Source</t>
        </is>
      </c>
      <c r="B5" t="inlineStr">
        <is>
          <t>Repository outputs/eval, outputs/train_history, and processed dataset CSVs.</t>
        </is>
      </c>
    </row>
    <row r="6">
      <c r="A6" t="inlineStr">
        <is>
          <t>Reproducibility</t>
        </is>
      </c>
      <c r="B6" t="inlineStr">
        <is>
          <t>Seed=42 in config; metrics from saved checkpoints and regenerated evaluation files.</t>
        </is>
      </c>
    </row>
    <row r="7">
      <c r="A7" t="inlineStr">
        <is>
          <t>Metric Reconciliation</t>
        </is>
      </c>
      <c r="B7" t="inlineStr">
        <is>
          <t>Final_Results, SOTA_Comparison, and Ablation_Study use canonical numbers copied from TAMAN_Project_Report (1).pdf (Table 1/2/3). Training_Curves uses outputs/train_history_taman_r18.json validation-per-epoch logs; therefore curve points need not equal final test metrics.</t>
        </is>
      </c>
    </row>
    <row r="8"/>
    <row r="9">
      <c r="A9" s="2" t="inlineStr">
        <is>
          <t>Tab</t>
        </is>
      </c>
      <c r="B9" s="2" t="inlineStr">
        <is>
          <t>Purpose</t>
        </is>
      </c>
    </row>
    <row r="10">
      <c r="A10" t="inlineStr">
        <is>
          <t>Dataset</t>
        </is>
      </c>
      <c r="B10" t="inlineStr">
        <is>
          <t>Split counts, percentages, AQI bucket distribution, preprocessing notes.</t>
        </is>
      </c>
    </row>
    <row r="11">
      <c r="A11" t="inlineStr">
        <is>
          <t>Experiment_Configs</t>
        </is>
      </c>
      <c r="B11" t="inlineStr">
        <is>
          <t>Run-level hyperparameters and hardware.</t>
        </is>
      </c>
    </row>
    <row r="12">
      <c r="A12" t="inlineStr">
        <is>
          <t>Final_Results</t>
        </is>
      </c>
      <c r="B12" t="inlineStr">
        <is>
          <t>Model metrics with formula-based improvement vs baseline.</t>
        </is>
      </c>
    </row>
    <row r="13">
      <c r="A13" t="inlineStr">
        <is>
          <t>Ablation_Study</t>
        </is>
      </c>
      <c r="B13" t="inlineStr">
        <is>
          <t>Component on/off impact table.</t>
        </is>
      </c>
    </row>
    <row r="14">
      <c r="A14" t="inlineStr">
        <is>
          <t>SOTA_Comparison</t>
        </is>
      </c>
      <c r="B14" t="inlineStr">
        <is>
          <t>Prior methods vs TAMAN row.</t>
        </is>
      </c>
    </row>
    <row r="15">
      <c r="A15" t="inlineStr">
        <is>
          <t>Per_Category_Analysis</t>
        </is>
      </c>
      <c r="B15" t="inlineStr">
        <is>
          <t>TAMAN per-AQI bucket error analysis.</t>
        </is>
      </c>
    </row>
    <row r="16">
      <c r="A16" t="inlineStr">
        <is>
          <t>Training_Curves</t>
        </is>
      </c>
      <c r="B16" t="inlineStr">
        <is>
          <t>Per-epoch TAMAN training and validation metrics.</t>
        </is>
      </c>
    </row>
    <row r="17">
      <c r="A17" t="inlineStr">
        <is>
          <t>Charts</t>
        </is>
      </c>
      <c r="B17" t="inlineStr">
        <is>
          <t>Charts linked to data tabs.</t>
        </is>
      </c>
    </row>
    <row r="18">
      <c r="A18" t="inlineStr">
        <is>
          <t>Scatter_Data</t>
        </is>
      </c>
      <c r="B18" t="inlineStr">
        <is>
          <t>Helper data source for the predicted-vs-actual scatter chart.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2" customWidth="1" min="3" max="3"/>
  </cols>
  <sheetData>
    <row r="1">
      <c r="A1" s="2" t="inlineStr">
        <is>
          <t>Split</t>
        </is>
      </c>
      <c r="B1" s="2" t="inlineStr">
        <is>
          <t>Count</t>
        </is>
      </c>
      <c r="C1" s="2" t="inlineStr">
        <is>
          <t>Percent</t>
        </is>
      </c>
    </row>
    <row r="2">
      <c r="A2" t="inlineStr">
        <is>
          <t>Train</t>
        </is>
      </c>
      <c r="B2" t="n">
        <v>10493</v>
      </c>
      <c r="C2" s="3" t="n">
        <v>0.7</v>
      </c>
    </row>
    <row r="3">
      <c r="A3" t="inlineStr">
        <is>
          <t>Validation</t>
        </is>
      </c>
      <c r="B3" t="n">
        <v>2248</v>
      </c>
      <c r="C3" s="3" t="n">
        <v>0.1499666444296197</v>
      </c>
    </row>
    <row r="4">
      <c r="A4" t="inlineStr">
        <is>
          <t>Test</t>
        </is>
      </c>
      <c r="B4" t="n">
        <v>2249</v>
      </c>
      <c r="C4" s="3" t="n">
        <v>0.1500333555703803</v>
      </c>
    </row>
    <row r="5">
      <c r="A5" t="inlineStr">
        <is>
          <t>Total</t>
        </is>
      </c>
      <c r="B5" t="n">
        <v>14990</v>
      </c>
      <c r="C5" s="3" t="n">
        <v>1</v>
      </c>
    </row>
    <row r="6"/>
    <row r="7">
      <c r="A7" s="2" t="inlineStr">
        <is>
          <t>AQI bucket distribution (all splits)</t>
        </is>
      </c>
    </row>
    <row r="8">
      <c r="A8" s="2" t="inlineStr">
        <is>
          <t>AQI Bucket</t>
        </is>
      </c>
      <c r="B8" s="2" t="inlineStr">
        <is>
          <t>Count</t>
        </is>
      </c>
      <c r="C8" s="2" t="inlineStr">
        <is>
          <t>Percent</t>
        </is>
      </c>
    </row>
    <row r="9">
      <c r="A9" t="inlineStr">
        <is>
          <t>Good</t>
        </is>
      </c>
      <c r="B9" t="n">
        <v>398</v>
      </c>
      <c r="C9" s="3" t="n">
        <v>0.02655103402268179</v>
      </c>
    </row>
    <row r="10">
      <c r="A10" t="inlineStr">
        <is>
          <t>Satisfactory</t>
        </is>
      </c>
      <c r="B10" t="n">
        <v>7249</v>
      </c>
      <c r="C10" s="3" t="n">
        <v>0.4835890593729153</v>
      </c>
    </row>
    <row r="11">
      <c r="A11" t="inlineStr">
        <is>
          <t>Moderate</t>
        </is>
      </c>
      <c r="B11" t="n">
        <v>4195</v>
      </c>
      <c r="C11" s="3" t="n">
        <v>0.2798532354903269</v>
      </c>
    </row>
    <row r="12">
      <c r="A12" t="inlineStr">
        <is>
          <t>Poor</t>
        </is>
      </c>
      <c r="B12" t="n">
        <v>1300</v>
      </c>
      <c r="C12" s="3" t="n">
        <v>0.0867244829886591</v>
      </c>
    </row>
    <row r="13">
      <c r="A13" t="inlineStr">
        <is>
          <t>Very Poor</t>
        </is>
      </c>
      <c r="B13" t="n">
        <v>1309</v>
      </c>
      <c r="C13" s="3" t="n">
        <v>0.08732488325550367</v>
      </c>
    </row>
    <row r="14">
      <c r="A14" t="inlineStr">
        <is>
          <t>Severe</t>
        </is>
      </c>
      <c r="B14" t="n">
        <v>539</v>
      </c>
      <c r="C14" s="3" t="n">
        <v>0.03595730486991328</v>
      </c>
    </row>
    <row r="15"/>
    <row r="16">
      <c r="A16" s="2" t="inlineStr">
        <is>
          <t>Preprocessing Notes</t>
        </is>
      </c>
    </row>
    <row r="17">
      <c r="A17" t="inlineStr">
        <is>
          <t>Image transform: train resize/crop/flip + ImageNet normalization; eval resize + normalization.</t>
        </is>
      </c>
    </row>
    <row r="18">
      <c r="A18" t="inlineStr">
        <is>
          <t>Metadata: numeric coercion, z-score standardization using train mean/std.</t>
        </is>
      </c>
    </row>
    <row r="19">
      <c r="A19" t="inlineStr">
        <is>
          <t>Split strategy: AQI-bin stratified train/val/test in prepare_splits.py.</t>
        </is>
      </c>
    </row>
    <row r="20">
      <c r="A20" t="inlineStr">
        <is>
          <t>Temporal TAMAN: seq_len=4 with max frame gap filter on parsed image ids.</t>
        </is>
      </c>
    </row>
    <row r="21"/>
    <row r="22">
      <c r="A22" s="2" t="inlineStr">
        <is>
          <t>Metadata Fields</t>
        </is>
      </c>
    </row>
    <row r="23">
      <c r="A23" t="inlineStr">
        <is>
          <t>humidity</t>
        </is>
      </c>
    </row>
    <row r="24">
      <c r="A24" t="inlineStr">
        <is>
          <t>temperature</t>
        </is>
      </c>
    </row>
    <row r="25">
      <c r="A25" t="inlineStr">
        <is>
          <t>hour</t>
        </is>
      </c>
    </row>
    <row r="26">
      <c r="A26" t="inlineStr">
        <is>
          <t>is_night</t>
        </is>
      </c>
    </row>
    <row r="27">
      <c r="A27" t="inlineStr">
        <is>
          <t>season_code</t>
        </is>
      </c>
    </row>
    <row r="28">
      <c r="A28" t="inlineStr">
        <is>
          <t>pm25</t>
        </is>
      </c>
    </row>
    <row r="29">
      <c r="A29" t="inlineStr">
        <is>
          <t>pm10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4" customWidth="1" min="5" max="5"/>
    <col width="12" customWidth="1" min="6" max="6"/>
    <col width="21" customWidth="1" min="7" max="7"/>
    <col width="12" customWidth="1" min="8" max="8"/>
    <col width="15" customWidth="1" min="9" max="9"/>
    <col width="12" customWidth="1" min="10" max="10"/>
    <col width="12" customWidth="1" min="11" max="11"/>
    <col width="16" customWidth="1" min="12" max="12"/>
    <col width="22" customWidth="1" min="13" max="13"/>
    <col width="51" customWidth="1" min="14" max="14"/>
  </cols>
  <sheetData>
    <row r="1">
      <c r="A1" s="2" t="inlineStr">
        <is>
          <t>Run ID</t>
        </is>
      </c>
      <c r="B1" s="2" t="inlineStr">
        <is>
          <t>Model Name</t>
        </is>
      </c>
      <c r="C1" s="2" t="inlineStr">
        <is>
          <t>Backbone</t>
        </is>
      </c>
      <c r="D1" s="2" t="inlineStr">
        <is>
          <t>Sequence Length</t>
        </is>
      </c>
      <c r="E1" s="2" t="inlineStr">
        <is>
          <t>Use Metadata</t>
        </is>
      </c>
      <c r="F1" s="2" t="inlineStr">
        <is>
          <t>Use LSTM</t>
        </is>
      </c>
      <c r="G1" s="2" t="inlineStr">
        <is>
          <t>Use Adaptive Fusion</t>
        </is>
      </c>
      <c r="H1" s="2" t="inlineStr">
        <is>
          <t>Optimizer</t>
        </is>
      </c>
      <c r="I1" s="2" t="inlineStr">
        <is>
          <t>Learning Rate</t>
        </is>
      </c>
      <c r="J1" s="2" t="inlineStr">
        <is>
          <t>Batch Size</t>
        </is>
      </c>
      <c r="K1" s="2" t="inlineStr">
        <is>
          <t>Epochs</t>
        </is>
      </c>
      <c r="L1" s="2" t="inlineStr">
        <is>
          <t>Loss Function</t>
        </is>
      </c>
      <c r="M1" s="2" t="inlineStr">
        <is>
          <t>Hardware</t>
        </is>
      </c>
      <c r="N1" s="2" t="inlineStr">
        <is>
          <t>Notes</t>
        </is>
      </c>
    </row>
    <row r="2">
      <c r="A2" t="inlineStr">
        <is>
          <t>v1</t>
        </is>
      </c>
      <c r="B2" t="inlineStr">
        <is>
          <t>Baseline multimodal</t>
        </is>
      </c>
      <c r="C2" t="inlineStr">
        <is>
          <t>ResNet18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>
        <is>
          <t>Y (softmax gate)</t>
        </is>
      </c>
      <c r="H2" t="inlineStr">
        <is>
          <t>AdamW</t>
        </is>
      </c>
      <c r="I2" t="inlineStr">
        <is>
          <t>5e-5</t>
        </is>
      </c>
      <c r="J2" t="n">
        <v>8</v>
      </c>
      <c r="K2" t="n">
        <v>10</v>
      </c>
      <c r="L2" t="inlineStr">
        <is>
          <t>Weighted Huber</t>
        </is>
      </c>
      <c r="M2" t="inlineStr">
        <is>
          <t>GPU (historical)</t>
        </is>
      </c>
      <c r="N2" t="inlineStr">
        <is>
          <t>Historical baseline; current ckpt schema mismatch</t>
        </is>
      </c>
    </row>
    <row r="3">
      <c r="A3" t="inlineStr">
        <is>
          <t>v3</t>
        </is>
      </c>
      <c r="B3" t="inlineStr">
        <is>
          <t>Multimodal</t>
        </is>
      </c>
      <c r="C3" t="inlineStr">
        <is>
          <t>ResNet18</t>
        </is>
      </c>
      <c r="D3" t="n">
        <v>1</v>
      </c>
      <c r="E3" t="inlineStr">
        <is>
          <t>Y</t>
        </is>
      </c>
      <c r="F3" t="inlineStr">
        <is>
          <t>N</t>
        </is>
      </c>
      <c r="G3" t="inlineStr">
        <is>
          <t>Y (softmax gate)</t>
        </is>
      </c>
      <c r="H3" t="inlineStr">
        <is>
          <t>AdamW</t>
        </is>
      </c>
      <c r="I3" t="inlineStr">
        <is>
          <t>5e-5</t>
        </is>
      </c>
      <c r="J3" t="n">
        <v>8</v>
      </c>
      <c r="K3" t="n">
        <v>15</v>
      </c>
      <c r="L3" t="inlineStr">
        <is>
          <t>Weighted Huber</t>
        </is>
      </c>
      <c r="M3" t="inlineStr">
        <is>
          <t>GPU</t>
        </is>
      </c>
      <c r="N3" t="inlineStr">
        <is>
          <t>Best single-image run</t>
        </is>
      </c>
    </row>
    <row r="4">
      <c r="A4" t="inlineStr">
        <is>
          <t>v4</t>
        </is>
      </c>
      <c r="B4" t="inlineStr">
        <is>
          <t>Multimodal</t>
        </is>
      </c>
      <c r="C4" t="inlineStr">
        <is>
          <t>ResNet50</t>
        </is>
      </c>
      <c r="D4" t="n">
        <v>1</v>
      </c>
      <c r="E4" t="inlineStr">
        <is>
          <t>Y</t>
        </is>
      </c>
      <c r="F4" t="inlineStr">
        <is>
          <t>N</t>
        </is>
      </c>
      <c r="G4" t="inlineStr">
        <is>
          <t>Y (softmax gate)</t>
        </is>
      </c>
      <c r="H4" t="inlineStr">
        <is>
          <t>AdamW</t>
        </is>
      </c>
      <c r="I4" t="inlineStr">
        <is>
          <t>5e-5</t>
        </is>
      </c>
      <c r="J4" t="n">
        <v>8</v>
      </c>
      <c r="K4" t="n">
        <v>15</v>
      </c>
      <c r="L4" t="inlineStr">
        <is>
          <t>Weighted Huber</t>
        </is>
      </c>
      <c r="M4" t="inlineStr">
        <is>
          <t>GPU</t>
        </is>
      </c>
      <c r="N4" t="inlineStr">
        <is>
          <t>Negative result vs v3</t>
        </is>
      </c>
    </row>
    <row r="5">
      <c r="A5" t="inlineStr">
        <is>
          <t>taman_r18</t>
        </is>
      </c>
      <c r="B5" t="inlineStr">
        <is>
          <t>TAMAN</t>
        </is>
      </c>
      <c r="C5" t="inlineStr">
        <is>
          <t>ResNet18</t>
        </is>
      </c>
      <c r="D5" t="n">
        <v>4</v>
      </c>
      <c r="E5" t="inlineStr">
        <is>
          <t>Y</t>
        </is>
      </c>
      <c r="F5" t="inlineStr">
        <is>
          <t>Y</t>
        </is>
      </c>
      <c r="G5" t="inlineStr">
        <is>
          <t>Y (sigmoid gate)</t>
        </is>
      </c>
      <c r="H5" t="inlineStr">
        <is>
          <t>AdamW</t>
        </is>
      </c>
      <c r="I5" t="inlineStr">
        <is>
          <t>5e-5</t>
        </is>
      </c>
      <c r="J5" t="n">
        <v>4</v>
      </c>
      <c r="K5" t="n">
        <v>10</v>
      </c>
      <c r="L5" t="inlineStr">
        <is>
          <t>Weighted Huber</t>
        </is>
      </c>
      <c r="M5" t="inlineStr">
        <is>
          <t>GPU (GTX 1650 class)</t>
        </is>
      </c>
      <c r="N5" t="inlineStr">
        <is>
          <t>Temporal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27" customWidth="1" min="8" max="8"/>
  </cols>
  <sheetData>
    <row r="1">
      <c r="A1" s="2" t="inlineStr">
        <is>
          <t>Run ID</t>
        </is>
      </c>
      <c r="B1" s="2" t="inlineStr">
        <is>
          <t>Model</t>
        </is>
      </c>
      <c r="C1" s="2" t="inlineStr">
        <is>
          <t>MAE</t>
        </is>
      </c>
      <c r="D1" s="2" t="inlineStr">
        <is>
          <t>RMSE</t>
        </is>
      </c>
      <c r="E1" s="2" t="inlineStr">
        <is>
          <t>R2</t>
        </is>
      </c>
      <c r="F1" s="2" t="inlineStr">
        <is>
          <t>F1_macro</t>
        </is>
      </c>
      <c r="G1" s="2" t="inlineStr">
        <is>
          <t>F1_weighted</t>
        </is>
      </c>
      <c r="H1" s="2" t="inlineStr">
        <is>
          <t>MAE Improvement vs v3 (%)</t>
        </is>
      </c>
    </row>
    <row r="2">
      <c r="A2" t="inlineStr">
        <is>
          <t>v1</t>
        </is>
      </c>
      <c r="B2" t="inlineStr">
        <is>
          <t>Baseline historical</t>
        </is>
      </c>
      <c r="C2" s="4" t="n">
        <v>64.53</v>
      </c>
      <c r="D2" s="4" t="n">
        <v>93.64</v>
      </c>
      <c r="E2" s="5" t="n">
        <v>0.27</v>
      </c>
      <c r="F2" t="inlineStr">
        <is>
          <t>N/A</t>
        </is>
      </c>
      <c r="G2" t="inlineStr">
        <is>
          <t>N/A</t>
        </is>
      </c>
    </row>
    <row r="3">
      <c r="A3" t="inlineStr">
        <is>
          <t>v3</t>
        </is>
      </c>
      <c r="B3" t="inlineStr">
        <is>
          <t>Multimodal ResNet18</t>
        </is>
      </c>
      <c r="C3" s="4" t="n">
        <v>46.37</v>
      </c>
      <c r="D3" s="4" t="n">
        <v>76.14</v>
      </c>
      <c r="E3" s="5" t="n">
        <v>0.55</v>
      </c>
      <c r="F3" s="4" t="n">
        <v>0.435</v>
      </c>
      <c r="G3" s="4" t="n">
        <v>0.591</v>
      </c>
      <c r="H3" s="4" t="n">
        <v>0</v>
      </c>
    </row>
    <row r="4">
      <c r="A4" t="inlineStr">
        <is>
          <t>v4</t>
        </is>
      </c>
      <c r="B4" t="inlineStr">
        <is>
          <t>Multimodal ResNet50</t>
        </is>
      </c>
      <c r="C4" s="4" t="n">
        <v>48.33</v>
      </c>
      <c r="D4" s="4" t="n">
        <v>76.29000000000001</v>
      </c>
      <c r="E4" s="5" t="n">
        <v>0.54</v>
      </c>
      <c r="F4" s="4" t="n">
        <v>0.404</v>
      </c>
      <c r="G4" s="4" t="n">
        <v>0.5649999999999999</v>
      </c>
      <c r="H4" s="6">
        <f>(C3/C4-1)*100</f>
        <v/>
      </c>
    </row>
    <row r="5">
      <c r="A5" t="inlineStr">
        <is>
          <t>taman_r18</t>
        </is>
      </c>
      <c r="B5" t="inlineStr">
        <is>
          <t>TAMAN ResNet18</t>
        </is>
      </c>
      <c r="C5" s="4" t="n">
        <v>15.61</v>
      </c>
      <c r="D5" s="4" t="n">
        <v>27.32</v>
      </c>
      <c r="E5" s="5" t="n">
        <v>0.9399999999999999</v>
      </c>
      <c r="F5" s="4" t="n">
        <v>0.653</v>
      </c>
      <c r="G5" s="4" t="n">
        <v>0.834</v>
      </c>
      <c r="H5" s="6">
        <f>(C3/C5-1)*100</f>
        <v/>
      </c>
    </row>
    <row r="6"/>
    <row r="7">
      <c r="A7" t="inlineStr">
        <is>
          <t>Note: v1 F1 fields are N/A because historical v1 artifact did not include CPCB classification metrics.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4" customWidth="1" min="3" max="3"/>
    <col width="17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23" customWidth="1" min="10" max="10"/>
    <col width="27" customWidth="1" min="11" max="11"/>
  </cols>
  <sheetData>
    <row r="1">
      <c r="A1" s="2" t="inlineStr">
        <is>
          <t>Ablation ID</t>
        </is>
      </c>
      <c r="B1" s="2" t="inlineStr">
        <is>
          <t>Configuration</t>
        </is>
      </c>
      <c r="C1" s="2" t="inlineStr">
        <is>
          <t>Image Branch</t>
        </is>
      </c>
      <c r="D1" s="2" t="inlineStr">
        <is>
          <t>Metadata Branch</t>
        </is>
      </c>
      <c r="E1" s="2" t="inlineStr">
        <is>
          <t>LSTM</t>
        </is>
      </c>
      <c r="F1" s="2" t="inlineStr">
        <is>
          <t>Adaptive Fusion</t>
        </is>
      </c>
      <c r="G1" s="2" t="inlineStr">
        <is>
          <t>MAE</t>
        </is>
      </c>
      <c r="H1" s="2" t="inlineStr">
        <is>
          <t>RMSE</t>
        </is>
      </c>
      <c r="I1" s="2" t="inlineStr">
        <is>
          <t>R2</t>
        </is>
      </c>
      <c r="J1" s="2" t="inlineStr">
        <is>
          <t>Delta MAE vs previous</t>
        </is>
      </c>
      <c r="K1" s="2" t="inlineStr">
        <is>
          <t>Status</t>
        </is>
      </c>
    </row>
    <row r="2">
      <c r="A2" t="inlineStr">
        <is>
          <t>A1</t>
        </is>
      </c>
      <c r="B2" t="inlineStr">
        <is>
          <t>CNN only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s="4" t="n">
        <v>52.84</v>
      </c>
      <c r="H2" s="4" t="n">
        <v>81.31999999999999</v>
      </c>
      <c r="I2" s="5" t="n">
        <v>0.49</v>
      </c>
      <c r="K2" t="inlineStr">
        <is>
          <t>From TAMAN report Table 3</t>
        </is>
      </c>
    </row>
    <row r="3">
      <c r="A3" t="inlineStr">
        <is>
          <t>A2</t>
        </is>
      </c>
      <c r="B3" t="inlineStr">
        <is>
          <t>CNN + metadata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s="4" t="n">
        <v>46.37</v>
      </c>
      <c r="H3" s="4" t="n">
        <v>76.14</v>
      </c>
      <c r="I3" s="5" t="n">
        <v>0.55</v>
      </c>
      <c r="J3">
        <f>G2-G3</f>
        <v/>
      </c>
      <c r="K3" t="inlineStr">
        <is>
          <t>From TAMAN report Table 3</t>
        </is>
      </c>
    </row>
    <row r="4">
      <c r="A4" t="inlineStr">
        <is>
          <t>A3</t>
        </is>
      </c>
      <c r="B4" t="inlineStr">
        <is>
          <t>CNN + LSTM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s="4" t="n">
        <v>28.72</v>
      </c>
      <c r="H4" s="4" t="n">
        <v>49.65</v>
      </c>
      <c r="I4" s="5" t="n">
        <v>0.8100000000000001</v>
      </c>
      <c r="J4">
        <f>G3-G4</f>
        <v/>
      </c>
      <c r="K4" t="inlineStr">
        <is>
          <t>From TAMAN report Table 3</t>
        </is>
      </c>
    </row>
    <row r="5">
      <c r="A5" t="inlineStr">
        <is>
          <t>A4</t>
        </is>
      </c>
      <c r="B5" t="inlineStr">
        <is>
          <t>CNN + metadata + LSTM (no adaptive fusion)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s="4" t="n">
        <v>20.43</v>
      </c>
      <c r="H5" s="4" t="n">
        <v>35.18</v>
      </c>
      <c r="I5" s="5" t="n">
        <v>0.9</v>
      </c>
      <c r="J5">
        <f>G4-G5</f>
        <v/>
      </c>
      <c r="K5" t="inlineStr">
        <is>
          <t>From TAMAN report Table 3</t>
        </is>
      </c>
    </row>
    <row r="6">
      <c r="A6" t="inlineStr">
        <is>
          <t>A5</t>
        </is>
      </c>
      <c r="B6" t="inlineStr">
        <is>
          <t>Full TAMAN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s="4" t="n">
        <v>15.61</v>
      </c>
      <c r="H6" s="4" t="n">
        <v>27.32</v>
      </c>
      <c r="I6" s="5" t="n">
        <v>0.9399999999999999</v>
      </c>
      <c r="J6">
        <f>G5-G6</f>
        <v/>
      </c>
      <c r="K6" t="inlineStr">
        <is>
          <t>From TAMAN report Table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48" customWidth="1" min="7" max="7"/>
    <col width="44" customWidth="1" min="8" max="8"/>
  </cols>
  <sheetData>
    <row r="1">
      <c r="A1" s="2" t="inlineStr">
        <is>
          <t>Method</t>
        </is>
      </c>
      <c r="B1" s="2" t="inlineStr">
        <is>
          <t>Citation</t>
        </is>
      </c>
      <c r="C1" s="2" t="inlineStr">
        <is>
          <t>MAE</t>
        </is>
      </c>
      <c r="D1" s="2" t="inlineStr">
        <is>
          <t>RMSE</t>
        </is>
      </c>
      <c r="E1" s="2" t="inlineStr">
        <is>
          <t>R2</t>
        </is>
      </c>
      <c r="F1" s="2" t="inlineStr">
        <is>
          <t>F1_macro</t>
        </is>
      </c>
      <c r="G1" s="2" t="inlineStr">
        <is>
          <t>% MAE improvement vs best prior</t>
        </is>
      </c>
      <c r="H1" s="2" t="inlineStr">
        <is>
          <t>Status</t>
        </is>
      </c>
    </row>
    <row r="2">
      <c r="A2" t="inlineStr">
        <is>
          <t>Mondal CNN</t>
        </is>
      </c>
      <c r="B2" t="inlineStr">
        <is>
          <t>Mondal et al. (2024), Scientific Reports, 14(1):1627</t>
        </is>
      </c>
      <c r="C2" s="4" t="n">
        <v>36.69</v>
      </c>
      <c r="D2" s="4" t="n">
        <v>60.34</v>
      </c>
      <c r="F2" s="4" t="n">
        <v>0.61</v>
      </c>
      <c r="H2" t="inlineStr">
        <is>
          <t>From TRAQID Table 3 + TAMAN report Table 2</t>
        </is>
      </c>
    </row>
    <row r="3">
      <c r="A3" t="inlineStr">
        <is>
          <t>Kalajdjieski (Inception+MLP)</t>
        </is>
      </c>
      <c r="B3" t="inlineStr">
        <is>
          <t>Kalajdjieski et al. (2020), Remote Sensing 12(24):4142</t>
        </is>
      </c>
      <c r="C3" s="4" t="n">
        <v>41.07</v>
      </c>
      <c r="D3" s="4" t="n">
        <v>68.28</v>
      </c>
      <c r="F3" s="4" t="n">
        <v>0.5600000000000001</v>
      </c>
      <c r="H3" t="inlineStr">
        <is>
          <t>From TRAQID Table 3 + TAMAN report Table 2</t>
        </is>
      </c>
    </row>
    <row r="4">
      <c r="A4" t="inlineStr">
        <is>
          <t>Nilesh et al. (RF + features)</t>
        </is>
      </c>
      <c r="B4" t="inlineStr">
        <is>
          <t>Nilesh et al. (2022), IEEE WF-IoT</t>
        </is>
      </c>
      <c r="C4" s="4" t="n">
        <v>33.19</v>
      </c>
      <c r="D4" s="4" t="n">
        <v>54.24</v>
      </c>
      <c r="F4" s="4" t="n">
        <v>0.71</v>
      </c>
      <c r="H4" t="inlineStr">
        <is>
          <t>From TRAQID Table 3 + TAMAN report Table 2</t>
        </is>
      </c>
    </row>
    <row r="5">
      <c r="A5" t="inlineStr">
        <is>
          <t>AQC-Net (best prior)</t>
        </is>
      </c>
      <c r="B5" t="inlineStr">
        <is>
          <t>Zhang et al. (2020), Science of the Total Environment 724:138178</t>
        </is>
      </c>
      <c r="C5" s="4" t="n">
        <v>31.67</v>
      </c>
      <c r="D5" s="4" t="n">
        <v>52.21</v>
      </c>
      <c r="F5" s="4" t="n">
        <v>0.74</v>
      </c>
      <c r="H5" t="inlineStr">
        <is>
          <t>From TRAQID Table 3 + TAMAN report Table 2</t>
        </is>
      </c>
    </row>
    <row r="6">
      <c r="A6" t="inlineStr">
        <is>
          <t>TAMAN-R18 (proposed)</t>
        </is>
      </c>
      <c r="B6" t="inlineStr">
        <is>
          <t>TAMAN Project Report (2026) Table 2</t>
        </is>
      </c>
      <c r="C6" s="4" t="n">
        <v>15.61</v>
      </c>
      <c r="D6" s="4" t="n">
        <v>27.32</v>
      </c>
      <c r="E6" s="5" t="n">
        <v>0.9399999999999999</v>
      </c>
      <c r="F6" s="4" t="n">
        <v>0.834</v>
      </c>
      <c r="G6">
        <f>IF(COUNT(C2:C5)=0, "", (MIN(C2:C5)/C6-1)*100)</f>
        <v/>
      </c>
      <c r="H6" t="inlineStr">
        <is>
          <t>Source of truth from user 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0" customWidth="1" min="4" max="4"/>
  </cols>
  <sheetData>
    <row r="1">
      <c r="A1" s="2" t="inlineStr">
        <is>
          <t>AQI Bucket</t>
        </is>
      </c>
      <c r="B1" s="2" t="inlineStr">
        <is>
          <t>Count</t>
        </is>
      </c>
      <c r="C1" s="2" t="inlineStr">
        <is>
          <t>MAE</t>
        </is>
      </c>
      <c r="D1" s="2" t="inlineStr">
        <is>
          <t>RMSE</t>
        </is>
      </c>
    </row>
    <row r="2">
      <c r="A2" t="inlineStr">
        <is>
          <t>Good</t>
        </is>
      </c>
      <c r="B2" t="n">
        <v>57</v>
      </c>
      <c r="C2" s="4" t="n">
        <v>21.97491394846063</v>
      </c>
      <c r="D2" s="4" t="n">
        <v>22.28598287022998</v>
      </c>
    </row>
    <row r="3">
      <c r="A3" t="inlineStr">
        <is>
          <t>Satisfactory</t>
        </is>
      </c>
      <c r="B3" t="n">
        <v>1085</v>
      </c>
      <c r="C3" s="4" t="n">
        <v>7.723318952569215</v>
      </c>
      <c r="D3" s="4" t="n">
        <v>9.95508252196915</v>
      </c>
    </row>
    <row r="4">
      <c r="A4" t="inlineStr">
        <is>
          <t>Moderate</t>
        </is>
      </c>
      <c r="B4" t="n">
        <v>633</v>
      </c>
      <c r="C4" s="4" t="n">
        <v>23.92877209318381</v>
      </c>
      <c r="D4" s="4" t="n">
        <v>28.11211900705829</v>
      </c>
    </row>
    <row r="5">
      <c r="A5" t="inlineStr">
        <is>
          <t>Poor</t>
        </is>
      </c>
      <c r="B5" t="n">
        <v>189</v>
      </c>
      <c r="C5" s="4" t="n">
        <v>27.10912536944031</v>
      </c>
      <c r="D5" s="4" t="n">
        <v>33.33457910340567</v>
      </c>
    </row>
    <row r="6">
      <c r="A6" t="inlineStr">
        <is>
          <t>Very Poor</t>
        </is>
      </c>
      <c r="B6" t="n">
        <v>192</v>
      </c>
      <c r="C6" s="4" t="n">
        <v>28.48289767901103</v>
      </c>
      <c r="D6" s="4" t="n">
        <v>36.53143736196782</v>
      </c>
    </row>
    <row r="7">
      <c r="A7" t="inlineStr">
        <is>
          <t>Severe</t>
        </is>
      </c>
      <c r="B7" t="n">
        <v>90</v>
      </c>
      <c r="C7" s="4" t="n">
        <v>47.71480611165364</v>
      </c>
      <c r="D7" s="4" t="n">
        <v>65.55626409940578</v>
      </c>
    </row>
    <row r="8"/>
    <row r="9"/>
    <row r="10">
      <c r="A10" t="inlineStr">
        <is>
          <t>Confusion matrix can be added below if class-level predictions are exported.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2" t="inlineStr">
        <is>
          <t>epoch</t>
        </is>
      </c>
      <c r="B1" s="2" t="inlineStr">
        <is>
          <t>train_loss</t>
        </is>
      </c>
      <c r="C1" s="2" t="inlineStr">
        <is>
          <t>val_mae</t>
        </is>
      </c>
      <c r="D1" s="2" t="inlineStr">
        <is>
          <t>val_rmse</t>
        </is>
      </c>
      <c r="E1" s="2" t="inlineStr">
        <is>
          <t>val_r2</t>
        </is>
      </c>
      <c r="F1" s="2" t="inlineStr">
        <is>
          <t>val_f1_macro</t>
        </is>
      </c>
    </row>
    <row r="2">
      <c r="A2" t="n">
        <v>1</v>
      </c>
      <c r="B2" s="4" t="n">
        <v>1480.375816937126</v>
      </c>
      <c r="C2" t="n">
        <v>64.56066871422171</v>
      </c>
      <c r="D2" t="n">
        <v>98.47964010045757</v>
      </c>
      <c r="E2" t="n">
        <v>0.2243160856728543</v>
      </c>
      <c r="F2" t="n">
        <v>0.231491004270904</v>
      </c>
    </row>
    <row r="3">
      <c r="A3" t="n">
        <v>2</v>
      </c>
      <c r="B3" s="4" t="n">
        <v>1123.390822701449</v>
      </c>
      <c r="C3" t="n">
        <v>55.10145323993368</v>
      </c>
      <c r="D3" t="n">
        <v>92.82832235532656</v>
      </c>
      <c r="E3" t="n">
        <v>0.3107879161175505</v>
      </c>
      <c r="F3" t="n">
        <v>0.2600038472021183</v>
      </c>
    </row>
    <row r="4">
      <c r="A4" t="n">
        <v>3</v>
      </c>
      <c r="B4" s="4" t="n">
        <v>983.033656331223</v>
      </c>
      <c r="C4" t="n">
        <v>49.43113712744086</v>
      </c>
      <c r="D4" t="n">
        <v>83.48514530619605</v>
      </c>
      <c r="E4" t="n">
        <v>0.442544384525047</v>
      </c>
      <c r="F4" t="n">
        <v>0.3182896856670999</v>
      </c>
    </row>
    <row r="5">
      <c r="A5" t="n">
        <v>4</v>
      </c>
      <c r="B5" s="4" t="n">
        <v>875.7535535504788</v>
      </c>
      <c r="C5" t="n">
        <v>29.73710766730701</v>
      </c>
      <c r="D5" t="n">
        <v>52.25906939994688</v>
      </c>
      <c r="E5" t="n">
        <v>0.7815685224886999</v>
      </c>
      <c r="F5" t="n">
        <v>0.4534367461002191</v>
      </c>
    </row>
    <row r="6">
      <c r="A6" t="n">
        <v>5</v>
      </c>
      <c r="B6" s="4" t="n">
        <v>650.8197481896739</v>
      </c>
      <c r="C6" t="n">
        <v>22.74458224120278</v>
      </c>
      <c r="D6" t="n">
        <v>40.42672395193463</v>
      </c>
      <c r="E6" t="n">
        <v>0.8692839313413601</v>
      </c>
      <c r="F6" t="n">
        <v>0.5788680566424554</v>
      </c>
    </row>
    <row r="7">
      <c r="A7" t="n">
        <v>6</v>
      </c>
      <c r="B7" s="4" t="n">
        <v>593.9517030045134</v>
      </c>
      <c r="C7" t="n">
        <v>20.13677199263881</v>
      </c>
      <c r="D7" t="n">
        <v>35.84074406238621</v>
      </c>
      <c r="E7" t="n">
        <v>0.8972584971353201</v>
      </c>
      <c r="F7" t="n">
        <v>0.6011661618174716</v>
      </c>
    </row>
    <row r="8">
      <c r="A8" t="n">
        <v>7</v>
      </c>
      <c r="B8" s="4" t="n">
        <v>566.2499503862117</v>
      </c>
      <c r="C8" t="n">
        <v>16.42120514425775</v>
      </c>
      <c r="D8" t="n">
        <v>27.3628778585179</v>
      </c>
      <c r="E8" t="n">
        <v>0.9401153626938485</v>
      </c>
      <c r="F8" t="n">
        <v>0.6587410862433497</v>
      </c>
    </row>
    <row r="9">
      <c r="A9" t="n">
        <v>8</v>
      </c>
      <c r="B9" s="4" t="n">
        <v>560.2330540582691</v>
      </c>
      <c r="C9" t="n">
        <v>19.97359113459598</v>
      </c>
      <c r="D9" t="n">
        <v>33.11056162235887</v>
      </c>
      <c r="E9" t="n">
        <v>0.9123150669912293</v>
      </c>
      <c r="F9" t="n">
        <v>0.5824170560212726</v>
      </c>
    </row>
    <row r="10">
      <c r="A10" t="n">
        <v>9</v>
      </c>
      <c r="B10" s="4" t="n">
        <v>531.4944589746121</v>
      </c>
      <c r="C10" t="n">
        <v>15.44726781016734</v>
      </c>
      <c r="D10" t="n">
        <v>26.11119107343055</v>
      </c>
      <c r="E10" t="n">
        <v>0.9454687760551265</v>
      </c>
      <c r="F10" t="n">
        <v>0.6549284371792904</v>
      </c>
    </row>
    <row r="11">
      <c r="A11" t="n">
        <v>10</v>
      </c>
      <c r="B11" s="4" t="n">
        <v>510.9461823425991</v>
      </c>
      <c r="C11" t="n">
        <v>16.80965746771254</v>
      </c>
      <c r="D11" t="n">
        <v>28.85285610383096</v>
      </c>
      <c r="E11" t="n">
        <v>0.9334160585859843</v>
      </c>
      <c r="F11" t="n">
        <v>0.6320789043333868</v>
      </c>
    </row>
    <row r="12">
      <c r="A12" t="n">
        <v>11</v>
      </c>
      <c r="B12" s="4" t="n">
        <v>514.742223770892</v>
      </c>
      <c r="C12" t="n">
        <v>15.63801808516538</v>
      </c>
      <c r="D12" t="n">
        <v>26.70887208937316</v>
      </c>
      <c r="E12" t="n">
        <v>0.9429437825946092</v>
      </c>
      <c r="F12" t="n">
        <v>0.6543281788283701</v>
      </c>
    </row>
    <row r="13">
      <c r="A13" t="n">
        <v>12</v>
      </c>
      <c r="B13" s="4" t="n">
        <v>501.6359262390079</v>
      </c>
      <c r="C13" t="n">
        <v>15.07460402932624</v>
      </c>
      <c r="D13" t="n">
        <v>27.04547200753738</v>
      </c>
      <c r="E13" t="n">
        <v>0.9414966129213002</v>
      </c>
      <c r="F13" t="n">
        <v>0.6429784161516682</v>
      </c>
    </row>
    <row r="14">
      <c r="A14" t="n">
        <v>13</v>
      </c>
      <c r="B14" s="4" t="n">
        <v>450.431455272961</v>
      </c>
      <c r="C14" t="n">
        <v>17.56422929317755</v>
      </c>
      <c r="D14" t="n">
        <v>25.50171507469486</v>
      </c>
      <c r="E14" t="n">
        <v>0.9479847538332353</v>
      </c>
      <c r="F14" t="n">
        <v>0.6651193259734987</v>
      </c>
    </row>
    <row r="15">
      <c r="A15" t="n">
        <v>14</v>
      </c>
      <c r="B15" s="4" t="n">
        <v>441.2531281003868</v>
      </c>
      <c r="C15" t="n">
        <v>15.88482213519464</v>
      </c>
      <c r="D15" t="n">
        <v>27.32462527766841</v>
      </c>
      <c r="E15" t="n">
        <v>0.9402826799434201</v>
      </c>
      <c r="F15" t="n">
        <v>0.6378566829230965</v>
      </c>
    </row>
    <row r="16">
      <c r="A16" t="n">
        <v>15</v>
      </c>
      <c r="B16" s="4" t="n">
        <v>438.7357451423088</v>
      </c>
      <c r="C16" t="n">
        <v>17.17037966925742</v>
      </c>
      <c r="D16" t="n">
        <v>29.68695709409184</v>
      </c>
      <c r="E16" t="n">
        <v>0.9295106916155349</v>
      </c>
      <c r="F16" t="n">
        <v>0.6330494338306952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s="2" t="inlineStr">
        <is>
          <t>Charts referencing workbook data tabs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target_aqi</t>
        </is>
      </c>
      <c r="B1" s="2" t="inlineStr">
        <is>
          <t>pred_aqi</t>
        </is>
      </c>
    </row>
    <row r="2">
      <c r="A2" t="n">
        <v>541</v>
      </c>
      <c r="B2" t="n">
        <v>494.1253662109375</v>
      </c>
    </row>
    <row r="3">
      <c r="A3" t="n">
        <v>242.913330078125</v>
      </c>
      <c r="B3" t="n">
        <v>339.3551635742188</v>
      </c>
    </row>
    <row r="4">
      <c r="A4" t="n">
        <v>262.1333312988281</v>
      </c>
      <c r="B4" t="n">
        <v>230.2439270019531</v>
      </c>
    </row>
    <row r="5">
      <c r="A5" t="n">
        <v>300.0784606933594</v>
      </c>
      <c r="B5" t="n">
        <v>73.20752716064453</v>
      </c>
    </row>
    <row r="6">
      <c r="A6" t="n">
        <v>85.02166748046875</v>
      </c>
      <c r="B6" t="n">
        <v>83.13045501708984</v>
      </c>
    </row>
    <row r="7">
      <c r="A7" t="n">
        <v>196.5184783935547</v>
      </c>
      <c r="B7" t="n">
        <v>146.8266754150391</v>
      </c>
    </row>
    <row r="8">
      <c r="A8" t="n">
        <v>177.2266693115234</v>
      </c>
      <c r="B8" t="n">
        <v>91.0434112548828</v>
      </c>
    </row>
    <row r="9">
      <c r="A9" t="n">
        <v>186.4700012207031</v>
      </c>
      <c r="B9" t="n">
        <v>70.99240875244141</v>
      </c>
    </row>
    <row r="10">
      <c r="A10" t="n">
        <v>68.30500030517578</v>
      </c>
      <c r="B10" t="n">
        <v>66.46334838867188</v>
      </c>
    </row>
    <row r="11">
      <c r="A11" t="n">
        <v>308.8100891113281</v>
      </c>
      <c r="B11" t="n">
        <v>341.4453430175781</v>
      </c>
    </row>
    <row r="12">
      <c r="A12" t="n">
        <v>185.5397186279297</v>
      </c>
      <c r="B12" t="n">
        <v>152.6786346435547</v>
      </c>
    </row>
    <row r="13">
      <c r="A13" t="n">
        <v>58.37333297729492</v>
      </c>
      <c r="B13" t="n">
        <v>52.43828582763672</v>
      </c>
    </row>
    <row r="14">
      <c r="A14" t="n">
        <v>192.5666656494141</v>
      </c>
      <c r="B14" t="n">
        <v>248.8628234863281</v>
      </c>
    </row>
    <row r="15">
      <c r="A15" t="n">
        <v>119.8284912109375</v>
      </c>
      <c r="B15" t="n">
        <v>144.3869018554688</v>
      </c>
    </row>
    <row r="16">
      <c r="A16" t="n">
        <v>67.91166687011719</v>
      </c>
      <c r="B16" t="n">
        <v>76.55901336669922</v>
      </c>
    </row>
    <row r="17">
      <c r="A17" t="n">
        <v>90.13500213623048</v>
      </c>
      <c r="B17" t="n">
        <v>54.92572021484375</v>
      </c>
    </row>
    <row r="18">
      <c r="A18" t="n">
        <v>74.00833129882812</v>
      </c>
      <c r="B18" t="n">
        <v>78.59101867675781</v>
      </c>
    </row>
    <row r="19">
      <c r="A19" t="n">
        <v>55.61999893188477</v>
      </c>
      <c r="B19" t="n">
        <v>74.98795318603516</v>
      </c>
    </row>
    <row r="20">
      <c r="A20" t="n">
        <v>78.73309326171875</v>
      </c>
      <c r="B20" t="n">
        <v>158.29052734375</v>
      </c>
    </row>
    <row r="21">
      <c r="A21" t="n">
        <v>42.73833465576172</v>
      </c>
      <c r="B21" t="n">
        <v>60.88034820556641</v>
      </c>
    </row>
    <row r="22">
      <c r="A22" t="n">
        <v>115.1010665893555</v>
      </c>
      <c r="B22" t="n">
        <v>115.1387252807617</v>
      </c>
    </row>
    <row r="23">
      <c r="A23" t="n">
        <v>73.71333312988281</v>
      </c>
      <c r="B23" t="n">
        <v>75.25951385498047</v>
      </c>
    </row>
    <row r="24">
      <c r="A24" t="n">
        <v>79.80999755859375</v>
      </c>
      <c r="B24" t="n">
        <v>65.82673645019531</v>
      </c>
    </row>
    <row r="25">
      <c r="A25" t="n">
        <v>55.22666549682617</v>
      </c>
      <c r="B25" t="n">
        <v>69.65890502929688</v>
      </c>
    </row>
    <row r="26">
      <c r="A26" t="n">
        <v>141.0399932861328</v>
      </c>
      <c r="B26" t="n">
        <v>125.4087753295898</v>
      </c>
    </row>
    <row r="27">
      <c r="A27" t="n">
        <v>157.017578125</v>
      </c>
      <c r="B27" t="n">
        <v>139.5452117919922</v>
      </c>
    </row>
    <row r="28">
      <c r="A28" t="n">
        <v>199.1257019042969</v>
      </c>
      <c r="B28" t="n">
        <v>169.0390930175781</v>
      </c>
    </row>
    <row r="29">
      <c r="A29" t="n">
        <v>304.4807739257812</v>
      </c>
      <c r="B29" t="n">
        <v>61.56182098388672</v>
      </c>
    </row>
    <row r="30">
      <c r="A30" t="n">
        <v>314.0245056152344</v>
      </c>
      <c r="B30" t="n">
        <v>267.8883666992188</v>
      </c>
    </row>
    <row r="31">
      <c r="A31" t="n">
        <v>156.57666015625</v>
      </c>
      <c r="B31" t="n">
        <v>169.9870758056641</v>
      </c>
    </row>
    <row r="32">
      <c r="A32" t="n">
        <v>211.1651916503907</v>
      </c>
      <c r="B32" t="n">
        <v>194.2503814697266</v>
      </c>
    </row>
    <row r="33">
      <c r="A33" t="n">
        <v>66.14167022705078</v>
      </c>
      <c r="B33" t="n">
        <v>112.5896377563477</v>
      </c>
    </row>
    <row r="34">
      <c r="A34" t="n">
        <v>105.4433364868164</v>
      </c>
      <c r="B34" t="n">
        <v>84.34918212890625</v>
      </c>
    </row>
    <row r="35">
      <c r="A35" t="n">
        <v>576.60546875</v>
      </c>
      <c r="B35" t="n">
        <v>231.7983093261719</v>
      </c>
    </row>
    <row r="36">
      <c r="A36" t="n">
        <v>74.21588897705078</v>
      </c>
      <c r="B36" t="n">
        <v>84.98378753662109</v>
      </c>
    </row>
    <row r="37">
      <c r="A37" t="n">
        <v>68.99333190917969</v>
      </c>
      <c r="B37" t="n">
        <v>72.06034851074219</v>
      </c>
    </row>
    <row r="38">
      <c r="A38" t="n">
        <v>69.93642425537109</v>
      </c>
      <c r="B38" t="n">
        <v>78.17056274414062</v>
      </c>
    </row>
    <row r="39">
      <c r="A39" t="n">
        <v>66.19189453125</v>
      </c>
      <c r="B39" t="n">
        <v>152.1534729003906</v>
      </c>
    </row>
    <row r="40">
      <c r="A40" t="n">
        <v>62.89666748046875</v>
      </c>
      <c r="B40" t="n">
        <v>62.56850433349609</v>
      </c>
    </row>
    <row r="41">
      <c r="A41" t="n">
        <v>273.4312438964844</v>
      </c>
      <c r="B41" t="n">
        <v>150.6295776367188</v>
      </c>
    </row>
    <row r="42">
      <c r="A42" t="n">
        <v>55.12833404541016</v>
      </c>
      <c r="B42" t="n">
        <v>81.83711242675781</v>
      </c>
    </row>
    <row r="43">
      <c r="A43" t="n">
        <v>50.80166625976562</v>
      </c>
      <c r="B43" t="n">
        <v>68.37587738037109</v>
      </c>
    </row>
    <row r="44">
      <c r="A44" t="n">
        <v>86.10333251953125</v>
      </c>
      <c r="B44" t="n">
        <v>69.60216522216797</v>
      </c>
    </row>
    <row r="45">
      <c r="A45" t="n">
        <v>80.21901702880859</v>
      </c>
      <c r="B45" t="n">
        <v>113.718391418457</v>
      </c>
    </row>
    <row r="46">
      <c r="A46" t="n">
        <v>356.1410217285156</v>
      </c>
      <c r="B46" t="n">
        <v>260.9058837890625</v>
      </c>
    </row>
    <row r="47">
      <c r="A47" t="n">
        <v>121.9633331298828</v>
      </c>
      <c r="B47" t="n">
        <v>51.85910797119141</v>
      </c>
    </row>
    <row r="48">
      <c r="A48" t="n">
        <v>73.32433319091797</v>
      </c>
      <c r="B48" t="n">
        <v>78.92819976806641</v>
      </c>
    </row>
    <row r="49">
      <c r="A49" t="n">
        <v>65.41921234130859</v>
      </c>
      <c r="B49" t="n">
        <v>84.92555999755859</v>
      </c>
    </row>
    <row r="50">
      <c r="A50" t="n">
        <v>67.81333160400391</v>
      </c>
      <c r="B50" t="n">
        <v>69.76701354980469</v>
      </c>
    </row>
    <row r="51">
      <c r="A51" t="n">
        <v>151.5022430419922</v>
      </c>
      <c r="B51" t="n">
        <v>123.9113845825195</v>
      </c>
    </row>
    <row r="52">
      <c r="A52" t="n">
        <v>73.4183349609375</v>
      </c>
      <c r="B52" t="n">
        <v>74.95094299316406</v>
      </c>
    </row>
    <row r="53">
      <c r="A53" t="n">
        <v>134.5500030517578</v>
      </c>
      <c r="B53" t="n">
        <v>96.38181304931641</v>
      </c>
    </row>
    <row r="54">
      <c r="A54" t="n">
        <v>92.1999969482422</v>
      </c>
      <c r="B54" t="n">
        <v>85.67202758789062</v>
      </c>
    </row>
    <row r="55">
      <c r="A55" t="n">
        <v>160.6419372558594</v>
      </c>
      <c r="B55" t="n">
        <v>334.2193603515625</v>
      </c>
    </row>
    <row r="56">
      <c r="A56" t="n">
        <v>218.2563323974609</v>
      </c>
      <c r="B56" t="n">
        <v>201.2538146972656</v>
      </c>
    </row>
    <row r="57">
      <c r="A57" t="n">
        <v>157.4903259277344</v>
      </c>
      <c r="B57" t="n">
        <v>206.492919921875</v>
      </c>
    </row>
    <row r="58">
      <c r="A58" t="n">
        <v>128.1802825927734</v>
      </c>
      <c r="B58" t="n">
        <v>184.8837585449219</v>
      </c>
    </row>
    <row r="59">
      <c r="A59" t="n">
        <v>337.8704223632812</v>
      </c>
      <c r="B59" t="n">
        <v>350.38671875</v>
      </c>
    </row>
    <row r="60">
      <c r="A60" t="n">
        <v>323.1792297363281</v>
      </c>
      <c r="B60" t="n">
        <v>340.3302001953125</v>
      </c>
    </row>
    <row r="61">
      <c r="A61" t="n">
        <v>454.5787658691406</v>
      </c>
      <c r="B61" t="n">
        <v>422.1953735351562</v>
      </c>
    </row>
    <row r="62">
      <c r="A62" t="n">
        <v>90.07218933105467</v>
      </c>
      <c r="B62" t="n">
        <v>112.4443969726562</v>
      </c>
    </row>
    <row r="63">
      <c r="A63" t="n">
        <v>72.53333282470703</v>
      </c>
      <c r="B63" t="n">
        <v>69.52888488769531</v>
      </c>
    </row>
    <row r="64">
      <c r="A64" t="n">
        <v>77.25333404541016</v>
      </c>
      <c r="B64" t="n">
        <v>79.39153289794922</v>
      </c>
    </row>
    <row r="65">
      <c r="A65" t="n">
        <v>76.51260375976562</v>
      </c>
      <c r="B65" t="n">
        <v>81.96572113037109</v>
      </c>
    </row>
    <row r="66">
      <c r="A66" t="n">
        <v>343.4842834472656</v>
      </c>
      <c r="B66" t="n">
        <v>318.0394897460937</v>
      </c>
    </row>
    <row r="67">
      <c r="A67" t="n">
        <v>80.30166625976562</v>
      </c>
      <c r="B67" t="n">
        <v>66.15522003173828</v>
      </c>
    </row>
    <row r="68">
      <c r="A68" t="n">
        <v>275.1693725585937</v>
      </c>
      <c r="B68" t="n">
        <v>335.736328125</v>
      </c>
    </row>
    <row r="69">
      <c r="A69" t="n">
        <v>134.9562530517578</v>
      </c>
      <c r="B69" t="n">
        <v>166.9586791992188</v>
      </c>
    </row>
    <row r="70">
      <c r="A70" t="n">
        <v>234.7575988769531</v>
      </c>
      <c r="B70" t="n">
        <v>174.78125</v>
      </c>
    </row>
    <row r="71">
      <c r="A71" t="n">
        <v>325.3493347167969</v>
      </c>
      <c r="B71" t="n">
        <v>330.25244140625</v>
      </c>
    </row>
    <row r="72">
      <c r="A72" t="n">
        <v>65.15833282470703</v>
      </c>
      <c r="B72" t="n">
        <v>72.44199371337891</v>
      </c>
    </row>
    <row r="73">
      <c r="A73" t="n">
        <v>61.25862884521485</v>
      </c>
      <c r="B73" t="n">
        <v>118.6457138061523</v>
      </c>
    </row>
    <row r="74">
      <c r="A74" t="n">
        <v>68.89499664306641</v>
      </c>
      <c r="B74" t="n">
        <v>60.07051086425781</v>
      </c>
    </row>
    <row r="75">
      <c r="A75" t="n">
        <v>137.9502868652344</v>
      </c>
      <c r="B75" t="n">
        <v>163.6227416992188</v>
      </c>
    </row>
    <row r="76">
      <c r="A76" t="n">
        <v>83.84166717529297</v>
      </c>
      <c r="B76" t="n">
        <v>95.85617828369141</v>
      </c>
    </row>
    <row r="77">
      <c r="A77" t="n">
        <v>150.086669921875</v>
      </c>
      <c r="B77" t="n">
        <v>65.67307281494141</v>
      </c>
    </row>
    <row r="78">
      <c r="A78" t="n">
        <v>78.43333435058594</v>
      </c>
      <c r="B78" t="n">
        <v>74.82998657226562</v>
      </c>
    </row>
    <row r="79">
      <c r="A79" t="n">
        <v>118.095100402832</v>
      </c>
      <c r="B79" t="n">
        <v>142.9480895996094</v>
      </c>
    </row>
    <row r="80">
      <c r="A80" t="n">
        <v>303.7999877929688</v>
      </c>
      <c r="B80" t="n">
        <v>81.84503936767578</v>
      </c>
    </row>
    <row r="81">
      <c r="A81" t="n">
        <v>306.7046203613281</v>
      </c>
      <c r="B81" t="n">
        <v>109.6768112182617</v>
      </c>
    </row>
    <row r="82">
      <c r="A82" t="n">
        <v>360.5761413574219</v>
      </c>
      <c r="B82" t="n">
        <v>94.75615692138672</v>
      </c>
    </row>
    <row r="83">
      <c r="A83" t="n">
        <v>137.5838775634766</v>
      </c>
      <c r="B83" t="n">
        <v>79.59583282470703</v>
      </c>
    </row>
    <row r="84">
      <c r="A84" t="n">
        <v>103.2799987792969</v>
      </c>
      <c r="B84" t="n">
        <v>80.16650390625</v>
      </c>
    </row>
    <row r="85">
      <c r="A85" t="n">
        <v>500.9666137695313</v>
      </c>
      <c r="B85" t="n">
        <v>204.1576232910156</v>
      </c>
    </row>
    <row r="86">
      <c r="A86" t="n">
        <v>93.77333068847656</v>
      </c>
      <c r="B86" t="n">
        <v>172.6798095703125</v>
      </c>
    </row>
    <row r="87">
      <c r="A87" t="n">
        <v>74.10666656494141</v>
      </c>
      <c r="B87" t="n">
        <v>90.5824737548828</v>
      </c>
    </row>
    <row r="88">
      <c r="A88" t="n">
        <v>57.38999938964844</v>
      </c>
      <c r="B88" t="n">
        <v>77.14070892333984</v>
      </c>
    </row>
    <row r="89">
      <c r="A89" t="n">
        <v>67.61666870117188</v>
      </c>
      <c r="B89" t="n">
        <v>68.16313934326172</v>
      </c>
    </row>
    <row r="90">
      <c r="A90" t="n">
        <v>56.78960037231445</v>
      </c>
      <c r="B90" t="n">
        <v>65.62680816650391</v>
      </c>
    </row>
    <row r="91">
      <c r="A91" t="n">
        <v>318.8378295898437</v>
      </c>
      <c r="B91" t="n">
        <v>298.9779357910156</v>
      </c>
    </row>
    <row r="92">
      <c r="A92" t="n">
        <v>252.3533325195312</v>
      </c>
      <c r="B92" t="n">
        <v>136.5052490234375</v>
      </c>
    </row>
    <row r="93">
      <c r="A93" t="n">
        <v>75.87666320800781</v>
      </c>
      <c r="B93" t="n">
        <v>65.34300231933594</v>
      </c>
    </row>
    <row r="94">
      <c r="A94" t="n">
        <v>198.8526763916016</v>
      </c>
      <c r="B94" t="n">
        <v>245.828125</v>
      </c>
    </row>
    <row r="95">
      <c r="A95" t="n">
        <v>65.45333099365234</v>
      </c>
      <c r="B95" t="n">
        <v>102.809928894043</v>
      </c>
    </row>
    <row r="96">
      <c r="A96" t="n">
        <v>358.397705078125</v>
      </c>
      <c r="B96" t="n">
        <v>119.767219543457</v>
      </c>
    </row>
    <row r="97">
      <c r="A97" t="n">
        <v>121.1766662597656</v>
      </c>
      <c r="B97" t="n">
        <v>53.29344177246094</v>
      </c>
    </row>
    <row r="98">
      <c r="A98" t="n">
        <v>112.5233306884766</v>
      </c>
      <c r="B98" t="n">
        <v>167.8173370361328</v>
      </c>
    </row>
    <row r="99">
      <c r="A99" t="n">
        <v>540</v>
      </c>
      <c r="B99" t="n">
        <v>624.2130737304688</v>
      </c>
    </row>
    <row r="100">
      <c r="A100" t="n">
        <v>76.86000061035156</v>
      </c>
      <c r="B100" t="n">
        <v>70.09380340576172</v>
      </c>
    </row>
    <row r="101">
      <c r="A101" t="n">
        <v>289.5090637207031</v>
      </c>
      <c r="B101" t="n">
        <v>122.6762542724609</v>
      </c>
    </row>
    <row r="102">
      <c r="A102" t="n">
        <v>232.4900054931641</v>
      </c>
      <c r="B102" t="n">
        <v>131.6690673828125</v>
      </c>
    </row>
    <row r="103">
      <c r="A103" t="n">
        <v>136.9100036621094</v>
      </c>
      <c r="B103" t="n">
        <v>154.9437408447266</v>
      </c>
    </row>
    <row r="104">
      <c r="A104" t="n">
        <v>66.92833709716797</v>
      </c>
      <c r="B104" t="n">
        <v>73.24764251708984</v>
      </c>
    </row>
    <row r="105">
      <c r="A105" t="n">
        <v>300.66845703125</v>
      </c>
      <c r="B105" t="n">
        <v>66.41382598876953</v>
      </c>
    </row>
    <row r="106">
      <c r="A106" t="n">
        <v>56.70166778564453</v>
      </c>
      <c r="B106" t="n">
        <v>79.40985870361328</v>
      </c>
    </row>
    <row r="107">
      <c r="A107" t="n">
        <v>334.2805480957031</v>
      </c>
      <c r="B107" t="n">
        <v>260.1347045898437</v>
      </c>
    </row>
    <row r="108">
      <c r="A108" t="n">
        <v>187.4533386230469</v>
      </c>
      <c r="B108" t="n">
        <v>71.77957916259766</v>
      </c>
    </row>
    <row r="109">
      <c r="A109" t="n">
        <v>60.6349983215332</v>
      </c>
      <c r="B109" t="n">
        <v>152.4229431152344</v>
      </c>
    </row>
    <row r="110">
      <c r="A110" t="n">
        <v>62.15018081665039</v>
      </c>
      <c r="B110" t="n">
        <v>85.88621520996094</v>
      </c>
    </row>
    <row r="111">
      <c r="A111" t="n">
        <v>184.4366607666016</v>
      </c>
      <c r="B111" t="n">
        <v>229.4114685058593</v>
      </c>
    </row>
    <row r="112">
      <c r="A112" t="n">
        <v>61.22499847412109</v>
      </c>
      <c r="B112" t="n">
        <v>59.35532379150391</v>
      </c>
    </row>
    <row r="113">
      <c r="A113" t="n">
        <v>267.1033325195312</v>
      </c>
      <c r="B113" t="n">
        <v>126.4183807373047</v>
      </c>
    </row>
    <row r="114">
      <c r="A114" t="n">
        <v>165.9996948242188</v>
      </c>
      <c r="B114" t="n">
        <v>203.841796875</v>
      </c>
    </row>
    <row r="115">
      <c r="A115" t="n">
        <v>93.5185546875</v>
      </c>
      <c r="B115" t="n">
        <v>85.92229461669922</v>
      </c>
    </row>
    <row r="116">
      <c r="A116" t="n">
        <v>149.1541290283203</v>
      </c>
      <c r="B116" t="n">
        <v>175.5858917236328</v>
      </c>
    </row>
    <row r="117">
      <c r="A117" t="n">
        <v>210.2197113037109</v>
      </c>
      <c r="B117" t="n">
        <v>235.2015380859375</v>
      </c>
    </row>
    <row r="118">
      <c r="A118" t="n">
        <v>93.28166961669922</v>
      </c>
      <c r="B118" t="n">
        <v>77.03498840332031</v>
      </c>
    </row>
    <row r="119">
      <c r="A119" t="n">
        <v>89.93833160400391</v>
      </c>
      <c r="B119" t="n">
        <v>81.26422882080078</v>
      </c>
    </row>
    <row r="120">
      <c r="A120" t="n">
        <v>285</v>
      </c>
      <c r="B120" t="n">
        <v>106.5525131225586</v>
      </c>
    </row>
    <row r="121">
      <c r="A121" t="n">
        <v>158.7139129638672</v>
      </c>
      <c r="B121" t="n">
        <v>196.447509765625</v>
      </c>
    </row>
    <row r="122">
      <c r="A122" t="n">
        <v>80.04071044921875</v>
      </c>
      <c r="B122" t="n">
        <v>74.69268798828125</v>
      </c>
    </row>
    <row r="123">
      <c r="A123" t="n">
        <v>360.0302429199219</v>
      </c>
      <c r="B123" t="n">
        <v>110.0604019165039</v>
      </c>
    </row>
    <row r="124">
      <c r="A124" t="n">
        <v>145.5633392333984</v>
      </c>
      <c r="B124" t="n">
        <v>184.8807067871093</v>
      </c>
    </row>
    <row r="125">
      <c r="A125" t="n">
        <v>77.58840179443359</v>
      </c>
      <c r="B125" t="n">
        <v>69.54988861083984</v>
      </c>
    </row>
    <row r="126">
      <c r="A126" t="n">
        <v>125.9741439819336</v>
      </c>
      <c r="B126" t="n">
        <v>132.2177276611328</v>
      </c>
    </row>
    <row r="127">
      <c r="A127" t="n">
        <v>99.5749969482422</v>
      </c>
      <c r="B127" t="n">
        <v>127.2236862182617</v>
      </c>
    </row>
    <row r="128">
      <c r="A128" t="n">
        <v>286.90185546875</v>
      </c>
      <c r="B128" t="n">
        <v>245.1618041992188</v>
      </c>
    </row>
    <row r="129">
      <c r="A129" t="n">
        <v>87.96607208251953</v>
      </c>
      <c r="B129" t="n">
        <v>107.9172592163086</v>
      </c>
    </row>
    <row r="130">
      <c r="A130" t="n">
        <v>270.4606018066406</v>
      </c>
      <c r="B130" t="n">
        <v>258.9857177734375</v>
      </c>
    </row>
    <row r="131">
      <c r="A131" t="n">
        <v>321.4450378417969</v>
      </c>
      <c r="B131" t="n">
        <v>200.4340057373047</v>
      </c>
    </row>
    <row r="132">
      <c r="A132" t="n">
        <v>71.49220275878906</v>
      </c>
      <c r="B132" t="n">
        <v>59.25019836425781</v>
      </c>
    </row>
    <row r="133">
      <c r="A133" t="n">
        <v>60.53666687011719</v>
      </c>
      <c r="B133" t="n">
        <v>61.14084625244141</v>
      </c>
    </row>
    <row r="134">
      <c r="A134" t="n">
        <v>63.38833236694336</v>
      </c>
      <c r="B134" t="n">
        <v>48.24327087402344</v>
      </c>
    </row>
    <row r="135">
      <c r="A135" t="n">
        <v>171.672607421875</v>
      </c>
      <c r="B135" t="n">
        <v>225.2125854492188</v>
      </c>
    </row>
    <row r="136">
      <c r="A136" t="n">
        <v>54.34166717529297</v>
      </c>
      <c r="B136" t="n">
        <v>142.9732971191406</v>
      </c>
    </row>
    <row r="137">
      <c r="A137" t="n">
        <v>59.35666656494141</v>
      </c>
      <c r="B137" t="n">
        <v>55.76529693603516</v>
      </c>
    </row>
    <row r="138">
      <c r="A138" t="n">
        <v>219.5488586425781</v>
      </c>
      <c r="B138" t="n">
        <v>327.7387084960937</v>
      </c>
    </row>
    <row r="139">
      <c r="A139" t="n">
        <v>583.401123046875</v>
      </c>
      <c r="B139" t="n">
        <v>684.7564697265625</v>
      </c>
    </row>
    <row r="140">
      <c r="A140" t="n">
        <v>79.74352264404297</v>
      </c>
      <c r="B140" t="n">
        <v>108.4877853393555</v>
      </c>
    </row>
    <row r="141">
      <c r="A141" t="n">
        <v>145.6254119873047</v>
      </c>
      <c r="B141" t="n">
        <v>79.89605712890625</v>
      </c>
    </row>
    <row r="142">
      <c r="A142" t="n">
        <v>84.82499694824219</v>
      </c>
      <c r="B142" t="n">
        <v>94.76343536376952</v>
      </c>
    </row>
    <row r="143">
      <c r="A143" t="n">
        <v>73.02500152587891</v>
      </c>
      <c r="B143" t="n">
        <v>79.67986297607422</v>
      </c>
    </row>
    <row r="144">
      <c r="A144" t="n">
        <v>193.1036071777344</v>
      </c>
      <c r="B144" t="n">
        <v>154.2367248535156</v>
      </c>
    </row>
    <row r="145">
      <c r="A145" t="n">
        <v>84.33333587646484</v>
      </c>
      <c r="B145" t="n">
        <v>86.12624359130859</v>
      </c>
    </row>
    <row r="146">
      <c r="A146" t="n">
        <v>79.21839904785156</v>
      </c>
      <c r="B146" t="n">
        <v>61.04553985595703</v>
      </c>
    </row>
    <row r="147">
      <c r="A147" t="n">
        <v>64.07666778564453</v>
      </c>
      <c r="B147" t="n">
        <v>52.5927734375</v>
      </c>
    </row>
    <row r="148">
      <c r="A148" t="n">
        <v>86.30000305175781</v>
      </c>
      <c r="B148" t="n">
        <v>98.56520843505859</v>
      </c>
    </row>
    <row r="149">
      <c r="A149" t="n">
        <v>189.2233276367188</v>
      </c>
      <c r="B149" t="n">
        <v>75.11746978759766</v>
      </c>
    </row>
    <row r="150">
      <c r="A150" t="n">
        <v>63.22004699707031</v>
      </c>
      <c r="B150" t="n">
        <v>83.69387054443359</v>
      </c>
    </row>
    <row r="151">
      <c r="A151" t="n">
        <v>173.7211608886719</v>
      </c>
      <c r="B151" t="n">
        <v>161.6707916259766</v>
      </c>
    </row>
    <row r="152">
      <c r="A152" t="n">
        <v>138.7382049560547</v>
      </c>
      <c r="B152" t="n">
        <v>132.794921875</v>
      </c>
    </row>
    <row r="153">
      <c r="A153" t="n">
        <v>350.0924987792969</v>
      </c>
      <c r="B153" t="n">
        <v>143.1694183349609</v>
      </c>
    </row>
    <row r="154">
      <c r="A154" t="n">
        <v>70.11473846435547</v>
      </c>
      <c r="B154" t="n">
        <v>83.62622833251953</v>
      </c>
    </row>
    <row r="155">
      <c r="A155" t="n">
        <v>68.15331268310547</v>
      </c>
      <c r="B155" t="n">
        <v>127.2380142211914</v>
      </c>
    </row>
    <row r="156">
      <c r="A156" t="n">
        <v>97.99066925048828</v>
      </c>
      <c r="B156" t="n">
        <v>145.4295654296875</v>
      </c>
    </row>
    <row r="157">
      <c r="A157" t="n">
        <v>129.2400054931641</v>
      </c>
      <c r="B157" t="n">
        <v>170.3978271484375</v>
      </c>
    </row>
    <row r="158">
      <c r="A158" t="n">
        <v>221.8019104003907</v>
      </c>
      <c r="B158" t="n">
        <v>224.1071472167969</v>
      </c>
    </row>
    <row r="159">
      <c r="A159" t="n">
        <v>377.1671752929688</v>
      </c>
      <c r="B159" t="n">
        <v>240.8406066894531</v>
      </c>
    </row>
    <row r="160">
      <c r="A160" t="n">
        <v>203.5800018310547</v>
      </c>
      <c r="B160" t="n">
        <v>82.05545806884766</v>
      </c>
    </row>
    <row r="161">
      <c r="A161" t="n">
        <v>61.97187042236328</v>
      </c>
      <c r="B161" t="n">
        <v>115.0073318481445</v>
      </c>
    </row>
    <row r="162">
      <c r="A162" t="n">
        <v>76.46666717529297</v>
      </c>
      <c r="B162" t="n">
        <v>81.41056060791016</v>
      </c>
    </row>
    <row r="163">
      <c r="A163" t="n">
        <v>154.9690246582031</v>
      </c>
      <c r="B163" t="n">
        <v>97.09168243408205</v>
      </c>
    </row>
    <row r="164">
      <c r="A164" t="n">
        <v>114.3131637573242</v>
      </c>
      <c r="B164" t="n">
        <v>110.9180374145508</v>
      </c>
    </row>
    <row r="165">
      <c r="A165" t="n">
        <v>318.98681640625</v>
      </c>
      <c r="B165" t="n">
        <v>295.6774291992188</v>
      </c>
    </row>
    <row r="166">
      <c r="A166" t="n">
        <v>66.31076812744141</v>
      </c>
      <c r="B166" t="n">
        <v>73.58612060546875</v>
      </c>
    </row>
    <row r="167">
      <c r="A167" t="n">
        <v>48.44166564941406</v>
      </c>
      <c r="B167" t="n">
        <v>95.41065216064452</v>
      </c>
    </row>
    <row r="168">
      <c r="A168" t="n">
        <v>68.40333557128906</v>
      </c>
      <c r="B168" t="n">
        <v>62.13719177246094</v>
      </c>
    </row>
    <row r="169">
      <c r="A169" t="n">
        <v>147.92333984375</v>
      </c>
      <c r="B169" t="n">
        <v>94.70041656494141</v>
      </c>
    </row>
    <row r="170">
      <c r="A170" t="n">
        <v>64.58709716796875</v>
      </c>
      <c r="B170" t="n">
        <v>80.39083099365234</v>
      </c>
    </row>
    <row r="171">
      <c r="A171" t="n">
        <v>88.06999969482422</v>
      </c>
      <c r="B171" t="n">
        <v>141.3759002685547</v>
      </c>
    </row>
    <row r="172">
      <c r="A172" t="n">
        <v>311.2786560058594</v>
      </c>
      <c r="B172" t="n">
        <v>144.7843780517578</v>
      </c>
    </row>
    <row r="173">
      <c r="A173" t="n">
        <v>72.55165100097656</v>
      </c>
      <c r="B173" t="n">
        <v>122.2942581176758</v>
      </c>
    </row>
    <row r="174">
      <c r="A174" t="n">
        <v>314.5287780761719</v>
      </c>
      <c r="B174" t="n">
        <v>189.6311645507812</v>
      </c>
    </row>
    <row r="175">
      <c r="A175" t="n">
        <v>65.65000152587891</v>
      </c>
      <c r="B175" t="n">
        <v>60.37113189697266</v>
      </c>
    </row>
    <row r="176">
      <c r="A176" t="n">
        <v>78.62999725341797</v>
      </c>
      <c r="B176" t="n">
        <v>69.34468078613281</v>
      </c>
    </row>
    <row r="177">
      <c r="A177" t="n">
        <v>52.86666488647461</v>
      </c>
      <c r="B177" t="n">
        <v>55.85493469238281</v>
      </c>
    </row>
    <row r="178">
      <c r="A178" t="n">
        <v>226.5014190673828</v>
      </c>
      <c r="B178" t="n">
        <v>199.3865966796875</v>
      </c>
    </row>
    <row r="179">
      <c r="A179" t="n">
        <v>69.38666534423828</v>
      </c>
      <c r="B179" t="n">
        <v>114.4396743774414</v>
      </c>
    </row>
    <row r="180">
      <c r="A180" t="n">
        <v>254.7462310791016</v>
      </c>
      <c r="B180" t="n">
        <v>264.3863830566406</v>
      </c>
    </row>
    <row r="181">
      <c r="A181" t="n">
        <v>129.7560882568359</v>
      </c>
      <c r="B181" t="n">
        <v>90.96245574951172</v>
      </c>
    </row>
    <row r="182">
      <c r="A182" t="n">
        <v>239.1029510498047</v>
      </c>
      <c r="B182" t="n">
        <v>232.3757629394531</v>
      </c>
    </row>
    <row r="183">
      <c r="A183" t="n">
        <v>66.53500366210938</v>
      </c>
      <c r="B183" t="n">
        <v>49.67254638671875</v>
      </c>
    </row>
    <row r="184">
      <c r="A184" t="n">
        <v>121.7666702270508</v>
      </c>
      <c r="B184" t="n">
        <v>82.96764373779297</v>
      </c>
    </row>
    <row r="185">
      <c r="A185" t="n">
        <v>74.79499816894531</v>
      </c>
      <c r="B185" t="n">
        <v>61.81831359863281</v>
      </c>
    </row>
    <row r="186">
      <c r="A186" t="n">
        <v>90.10679626464844</v>
      </c>
      <c r="B186" t="n">
        <v>146.0746154785156</v>
      </c>
    </row>
    <row r="187">
      <c r="A187" t="n">
        <v>77.35166931152344</v>
      </c>
      <c r="B187" t="n">
        <v>65.40673828125</v>
      </c>
    </row>
    <row r="188">
      <c r="A188" t="n">
        <v>65.05999755859375</v>
      </c>
      <c r="B188" t="n">
        <v>52.82030487060547</v>
      </c>
    </row>
    <row r="189">
      <c r="A189" t="n">
        <v>64.64653778076172</v>
      </c>
      <c r="B189" t="n">
        <v>76.26926422119141</v>
      </c>
    </row>
    <row r="190">
      <c r="A190" t="n">
        <v>183.482421875</v>
      </c>
      <c r="B190" t="n">
        <v>220.8368225097656</v>
      </c>
    </row>
    <row r="191">
      <c r="A191" t="n">
        <v>137.856201171875</v>
      </c>
      <c r="B191" t="n">
        <v>191.6064453125</v>
      </c>
    </row>
    <row r="192">
      <c r="A192" t="n">
        <v>68.99333190917969</v>
      </c>
      <c r="B192" t="n">
        <v>72.54988098144531</v>
      </c>
    </row>
    <row r="193">
      <c r="A193" t="n">
        <v>88.85049438476562</v>
      </c>
      <c r="B193" t="n">
        <v>153.0634307861328</v>
      </c>
    </row>
    <row r="194">
      <c r="A194" t="n">
        <v>121.7666702270508</v>
      </c>
      <c r="B194" t="n">
        <v>130.4128723144531</v>
      </c>
    </row>
    <row r="195">
      <c r="A195" t="n">
        <v>137.0048065185547</v>
      </c>
      <c r="B195" t="n">
        <v>191.6326904296875</v>
      </c>
    </row>
    <row r="196">
      <c r="A196" t="n">
        <v>137.9502868652344</v>
      </c>
      <c r="B196" t="n">
        <v>130.4418487548828</v>
      </c>
    </row>
    <row r="197">
      <c r="A197" t="n">
        <v>89.08686828613281</v>
      </c>
      <c r="B197" t="n">
        <v>119.910270690918</v>
      </c>
    </row>
    <row r="198">
      <c r="A198" t="n">
        <v>98.98500061035156</v>
      </c>
      <c r="B198" t="n">
        <v>91.00843048095705</v>
      </c>
    </row>
    <row r="199">
      <c r="A199" t="n">
        <v>202.1674499511719</v>
      </c>
      <c r="B199" t="n">
        <v>143.7559661865234</v>
      </c>
    </row>
    <row r="200">
      <c r="A200" t="n">
        <v>63.68333435058594</v>
      </c>
      <c r="B200" t="n">
        <v>60.69749450683594</v>
      </c>
    </row>
    <row r="201">
      <c r="A201" t="n">
        <v>105.4177551269531</v>
      </c>
      <c r="B201" t="n">
        <v>269.0902404785156</v>
      </c>
    </row>
    <row r="202">
      <c r="A202" t="n">
        <v>67.125</v>
      </c>
      <c r="B202" t="n">
        <v>134.4366912841797</v>
      </c>
    </row>
    <row r="203">
      <c r="A203" t="n">
        <v>166.1572723388672</v>
      </c>
      <c r="B203" t="n">
        <v>163.1823120117188</v>
      </c>
    </row>
    <row r="204">
      <c r="A204" t="n">
        <v>67.41999816894531</v>
      </c>
      <c r="B204" t="n">
        <v>73.35927581787109</v>
      </c>
    </row>
    <row r="205">
      <c r="A205" t="n">
        <v>359.1438293457031</v>
      </c>
      <c r="B205" t="n">
        <v>214.1229248046875</v>
      </c>
    </row>
    <row r="206">
      <c r="A206" t="n">
        <v>48.73666763305664</v>
      </c>
      <c r="B206" t="n">
        <v>82.99025726318359</v>
      </c>
    </row>
    <row r="207">
      <c r="A207" t="n">
        <v>321.745849609375</v>
      </c>
      <c r="B207" t="n">
        <v>162.049072265625</v>
      </c>
    </row>
    <row r="208">
      <c r="A208" t="n">
        <v>314.1247863769531</v>
      </c>
      <c r="B208" t="n">
        <v>373.4122314453125</v>
      </c>
    </row>
    <row r="209">
      <c r="A209" t="n">
        <v>85.51333618164062</v>
      </c>
      <c r="B209" t="n">
        <v>77.95055389404297</v>
      </c>
    </row>
    <row r="210">
      <c r="A210" t="n">
        <v>153.2356414794922</v>
      </c>
      <c r="B210" t="n">
        <v>256.7852172851562</v>
      </c>
    </row>
    <row r="211">
      <c r="A211" t="n">
        <v>56.40666580200195</v>
      </c>
      <c r="B211" t="n">
        <v>55.88759994506836</v>
      </c>
    </row>
    <row r="212">
      <c r="A212" t="n">
        <v>75.2738037109375</v>
      </c>
      <c r="B212" t="n">
        <v>101.9078598022461</v>
      </c>
    </row>
    <row r="213">
      <c r="A213" t="n">
        <v>71.71953582763672</v>
      </c>
      <c r="B213" t="n">
        <v>87.08437347412109</v>
      </c>
    </row>
    <row r="214">
      <c r="A214" t="n">
        <v>63.09333419799805</v>
      </c>
      <c r="B214" t="n">
        <v>69.38398742675781</v>
      </c>
    </row>
    <row r="215">
      <c r="A215" t="n">
        <v>143.7807922363281</v>
      </c>
      <c r="B215" t="n">
        <v>175.4697265625</v>
      </c>
    </row>
    <row r="216">
      <c r="A216" t="n">
        <v>120.4588165283203</v>
      </c>
      <c r="B216" t="n">
        <v>100.2231292724609</v>
      </c>
    </row>
    <row r="217">
      <c r="A217" t="n">
        <v>46.18000030517578</v>
      </c>
      <c r="B217" t="n">
        <v>106.8358840942383</v>
      </c>
    </row>
    <row r="218">
      <c r="A218" t="n">
        <v>87.18499755859375</v>
      </c>
      <c r="B218" t="n">
        <v>109.2875900268555</v>
      </c>
    </row>
    <row r="219">
      <c r="A219" t="n">
        <v>293.4198608398437</v>
      </c>
      <c r="B219" t="n">
        <v>300.2451171875</v>
      </c>
    </row>
    <row r="220">
      <c r="A220" t="n">
        <v>311.0161743164062</v>
      </c>
      <c r="B220" t="n">
        <v>336.7348022460937</v>
      </c>
    </row>
    <row r="221">
      <c r="A221" t="n">
        <v>60.96144485473633</v>
      </c>
      <c r="B221" t="n">
        <v>72.62208557128906</v>
      </c>
    </row>
    <row r="222">
      <c r="A222" t="n">
        <v>161.6900024414062</v>
      </c>
      <c r="B222" t="n">
        <v>69.56629180908203</v>
      </c>
    </row>
    <row r="223">
      <c r="A223" t="n">
        <v>155.7569274902344</v>
      </c>
      <c r="B223" t="n">
        <v>308.320556640625</v>
      </c>
    </row>
    <row r="224">
      <c r="A224" t="n">
        <v>214.1698760986328</v>
      </c>
      <c r="B224" t="n">
        <v>94.77521514892578</v>
      </c>
    </row>
    <row r="225">
      <c r="A225" t="n">
        <v>125.0286636352539</v>
      </c>
      <c r="B225" t="n">
        <v>129.1653137207031</v>
      </c>
    </row>
    <row r="226">
      <c r="A226" t="n">
        <v>258.6570434570312</v>
      </c>
      <c r="B226" t="n">
        <v>204.4078826904297</v>
      </c>
    </row>
    <row r="227">
      <c r="A227" t="n">
        <v>146.4596557617188</v>
      </c>
      <c r="B227" t="n">
        <v>107.1611557006836</v>
      </c>
    </row>
    <row r="228">
      <c r="A228" t="n">
        <v>147.4051513671875</v>
      </c>
      <c r="B228" t="n">
        <v>153.7380065917969</v>
      </c>
    </row>
    <row r="229">
      <c r="A229" t="n">
        <v>59.5533332824707</v>
      </c>
      <c r="B229" t="n">
        <v>120.8889389038086</v>
      </c>
    </row>
    <row r="230">
      <c r="A230" t="n">
        <v>66.83000183105469</v>
      </c>
      <c r="B230" t="n">
        <v>76.34494781494141</v>
      </c>
    </row>
    <row r="231">
      <c r="A231" t="n">
        <v>67.41999816894531</v>
      </c>
      <c r="B231" t="n">
        <v>73.53858184814453</v>
      </c>
    </row>
    <row r="232">
      <c r="A232" t="n">
        <v>91.61000061035156</v>
      </c>
      <c r="B232" t="n">
        <v>90.11847686767578</v>
      </c>
    </row>
    <row r="233">
      <c r="A233" t="n">
        <v>67.91556549072266</v>
      </c>
      <c r="B233" t="n">
        <v>79.47346496582031</v>
      </c>
    </row>
    <row r="234">
      <c r="A234" t="n">
        <v>67.74320220947266</v>
      </c>
      <c r="B234" t="n">
        <v>61.77095794677734</v>
      </c>
    </row>
    <row r="235">
      <c r="A235" t="n">
        <v>56.99666595458984</v>
      </c>
      <c r="B235" t="n">
        <v>73.35166168212891</v>
      </c>
    </row>
    <row r="236">
      <c r="A236" t="n">
        <v>309.211181640625</v>
      </c>
      <c r="B236" t="n">
        <v>354.2005004882812</v>
      </c>
    </row>
    <row r="237">
      <c r="A237" t="n">
        <v>99.67333221435548</v>
      </c>
      <c r="B237" t="n">
        <v>61.04739379882812</v>
      </c>
    </row>
    <row r="238">
      <c r="A238" t="n">
        <v>163.9511413574219</v>
      </c>
      <c r="B238" t="n">
        <v>177.6593017578125</v>
      </c>
    </row>
    <row r="239">
      <c r="A239" t="n">
        <v>72.336669921875</v>
      </c>
      <c r="B239" t="n">
        <v>62.51604461669922</v>
      </c>
    </row>
    <row r="240">
      <c r="A240" t="n">
        <v>143.1504669189453</v>
      </c>
      <c r="B240" t="n">
        <v>180.4504547119141</v>
      </c>
    </row>
    <row r="241">
      <c r="A241" t="n">
        <v>170.2543792724609</v>
      </c>
      <c r="B241" t="n">
        <v>185.8318176269531</v>
      </c>
    </row>
    <row r="242">
      <c r="A242" t="n">
        <v>106.7492752075195</v>
      </c>
      <c r="B242" t="n">
        <v>99.21665191650391</v>
      </c>
    </row>
    <row r="243">
      <c r="A243" t="n">
        <v>63.38833236694336</v>
      </c>
      <c r="B243" t="n">
        <v>61.23661804199219</v>
      </c>
    </row>
    <row r="244">
      <c r="A244" t="n">
        <v>164.4433288574219</v>
      </c>
      <c r="B244" t="n">
        <v>155.3520812988281</v>
      </c>
    </row>
    <row r="245">
      <c r="A245" t="n">
        <v>40.47666549682617</v>
      </c>
      <c r="B245" t="n">
        <v>96.28475189208984</v>
      </c>
    </row>
    <row r="246">
      <c r="A246" t="n">
        <v>76.76166534423828</v>
      </c>
      <c r="B246" t="n">
        <v>108.1245803833008</v>
      </c>
    </row>
    <row r="247">
      <c r="A247" t="n">
        <v>151.7613372802734</v>
      </c>
      <c r="B247" t="n">
        <v>171.2393188476562</v>
      </c>
    </row>
    <row r="248">
      <c r="A248" t="n">
        <v>96.17800903320312</v>
      </c>
      <c r="B248" t="n">
        <v>169.0286254882812</v>
      </c>
    </row>
    <row r="249">
      <c r="A249" t="n">
        <v>80.40000152587891</v>
      </c>
      <c r="B249" t="n">
        <v>70.80205535888672</v>
      </c>
    </row>
    <row r="250">
      <c r="A250" t="n">
        <v>102.8866653442383</v>
      </c>
      <c r="B250" t="n">
        <v>57.33302688598633</v>
      </c>
    </row>
    <row r="251">
      <c r="A251" t="n">
        <v>139.1598205566406</v>
      </c>
      <c r="B251" t="n">
        <v>166.951171875</v>
      </c>
    </row>
    <row r="252">
      <c r="A252" t="n">
        <v>127.3923721313477</v>
      </c>
      <c r="B252" t="n">
        <v>136.0406494140625</v>
      </c>
    </row>
    <row r="253">
      <c r="A253" t="n">
        <v>56.30059814453125</v>
      </c>
      <c r="B253" t="n">
        <v>74.97122192382812</v>
      </c>
    </row>
    <row r="254">
      <c r="A254" t="n">
        <v>59.9466667175293</v>
      </c>
      <c r="B254" t="n">
        <v>69.14563751220703</v>
      </c>
    </row>
    <row r="255">
      <c r="A255" t="n">
        <v>53.2599983215332</v>
      </c>
      <c r="B255" t="n">
        <v>56.28471374511719</v>
      </c>
    </row>
    <row r="256">
      <c r="A256" t="n">
        <v>269.0859069824219</v>
      </c>
      <c r="B256" t="n">
        <v>219.4281768798828</v>
      </c>
    </row>
    <row r="257">
      <c r="A257" t="n">
        <v>40.57500076293945</v>
      </c>
      <c r="B257" t="n">
        <v>44.46168518066406</v>
      </c>
    </row>
    <row r="258">
      <c r="A258" t="n">
        <v>240.8410949707031</v>
      </c>
      <c r="B258" t="n">
        <v>264.1492309570312</v>
      </c>
    </row>
    <row r="259">
      <c r="A259" t="n">
        <v>134.6410980224609</v>
      </c>
      <c r="B259" t="n">
        <v>176.2012023925781</v>
      </c>
    </row>
    <row r="260">
      <c r="A260" t="n">
        <v>293.8544006347656</v>
      </c>
      <c r="B260" t="n">
        <v>275.4449462890625</v>
      </c>
    </row>
    <row r="261">
      <c r="A261" t="n">
        <v>52.375</v>
      </c>
      <c r="B261" t="n">
        <v>56.52204895019531</v>
      </c>
    </row>
    <row r="262">
      <c r="A262" t="n">
        <v>89.54499816894531</v>
      </c>
      <c r="B262" t="n">
        <v>67.51358795166016</v>
      </c>
    </row>
    <row r="263">
      <c r="A263" t="n">
        <v>137.1623840332031</v>
      </c>
      <c r="B263" t="n">
        <v>166.5905151367188</v>
      </c>
    </row>
    <row r="264">
      <c r="A264" t="n">
        <v>254.421142578125</v>
      </c>
      <c r="B264" t="n">
        <v>162.9694519042969</v>
      </c>
    </row>
    <row r="265">
      <c r="A265" t="n">
        <v>213.8066711425781</v>
      </c>
      <c r="B265" t="n">
        <v>225.8599700927734</v>
      </c>
    </row>
    <row r="266">
      <c r="A266" t="n">
        <v>74.30333709716797</v>
      </c>
      <c r="B266" t="n">
        <v>93.24382019042967</v>
      </c>
    </row>
    <row r="267">
      <c r="A267" t="n">
        <v>75.08999633789062</v>
      </c>
      <c r="B267" t="n">
        <v>126.2979507446289</v>
      </c>
    </row>
    <row r="268">
      <c r="A268" t="n">
        <v>198.2566223144531</v>
      </c>
      <c r="B268" t="n">
        <v>249.1470184326172</v>
      </c>
    </row>
    <row r="269">
      <c r="A269" t="n">
        <v>84.32823944091797</v>
      </c>
      <c r="B269" t="n">
        <v>120.4981231689453</v>
      </c>
    </row>
    <row r="270">
      <c r="A270" t="n">
        <v>59.75</v>
      </c>
      <c r="B270" t="n">
        <v>78.75383758544922</v>
      </c>
    </row>
    <row r="271">
      <c r="A271" t="n">
        <v>587.5376586914062</v>
      </c>
      <c r="B271" t="n">
        <v>549.0242919921875</v>
      </c>
    </row>
    <row r="272">
      <c r="A272" t="n">
        <v>108.7978286743164</v>
      </c>
      <c r="B272" t="n">
        <v>153.4309844970703</v>
      </c>
    </row>
    <row r="273">
      <c r="A273" t="n">
        <v>67.02666473388672</v>
      </c>
      <c r="B273" t="n">
        <v>68.57720184326172</v>
      </c>
    </row>
    <row r="274">
      <c r="A274" t="n">
        <v>473.783935546875</v>
      </c>
      <c r="B274" t="n">
        <v>165.2145233154297</v>
      </c>
    </row>
    <row r="275">
      <c r="A275" t="n">
        <v>65.35500335693359</v>
      </c>
      <c r="B275" t="n">
        <v>118.1764678955078</v>
      </c>
    </row>
    <row r="276">
      <c r="A276" t="n">
        <v>97.51000213623048</v>
      </c>
      <c r="B276" t="n">
        <v>62.5112419128418</v>
      </c>
    </row>
    <row r="277">
      <c r="A277" t="n">
        <v>64.961669921875</v>
      </c>
      <c r="B277" t="n">
        <v>57.66690063476562</v>
      </c>
    </row>
    <row r="278">
      <c r="A278" t="n">
        <v>372.439697265625</v>
      </c>
      <c r="B278" t="n">
        <v>408.5955810546875</v>
      </c>
    </row>
    <row r="279">
      <c r="A279" t="n">
        <v>103.2825012207031</v>
      </c>
      <c r="B279" t="n">
        <v>287.7371215820312</v>
      </c>
    </row>
    <row r="280">
      <c r="A280" t="n">
        <v>66.54851531982422</v>
      </c>
      <c r="B280" t="n">
        <v>87.48561096191406</v>
      </c>
    </row>
    <row r="281">
      <c r="A281" t="n">
        <v>61.0283317565918</v>
      </c>
      <c r="B281" t="n">
        <v>60.66411590576172</v>
      </c>
    </row>
    <row r="282">
      <c r="A282" t="n">
        <v>91.61000061035156</v>
      </c>
      <c r="B282" t="n">
        <v>103.7686996459961</v>
      </c>
    </row>
    <row r="283">
      <c r="A283" t="n">
        <v>61.12666702270508</v>
      </c>
      <c r="B283" t="n">
        <v>85.47631072998047</v>
      </c>
    </row>
    <row r="284">
      <c r="A284" t="n">
        <v>57.63297271728516</v>
      </c>
      <c r="B284" t="n">
        <v>112.2104415893555</v>
      </c>
    </row>
    <row r="285">
      <c r="A285" t="n">
        <v>182.1788177490234</v>
      </c>
      <c r="B285" t="n">
        <v>153.3929290771484</v>
      </c>
    </row>
    <row r="286">
      <c r="A286" t="n">
        <v>189.8133392333984</v>
      </c>
      <c r="B286" t="n">
        <v>174.8280944824219</v>
      </c>
    </row>
    <row r="287">
      <c r="A287" t="n">
        <v>104.2633361816406</v>
      </c>
      <c r="B287" t="n">
        <v>104.1131820678711</v>
      </c>
    </row>
    <row r="288">
      <c r="A288" t="n">
        <v>129.2400054931641</v>
      </c>
      <c r="B288" t="n">
        <v>78.30564880371094</v>
      </c>
    </row>
    <row r="289">
      <c r="A289" t="n">
        <v>303.5966186523437</v>
      </c>
      <c r="B289" t="n">
        <v>299.3474731445312</v>
      </c>
    </row>
    <row r="290">
      <c r="A290" t="n">
        <v>46.96666717529297</v>
      </c>
      <c r="B290" t="n">
        <v>46.09815979003906</v>
      </c>
    </row>
    <row r="291">
      <c r="A291" t="n">
        <v>265.2942199707031</v>
      </c>
      <c r="B291" t="n">
        <v>223.2253112792969</v>
      </c>
    </row>
    <row r="292">
      <c r="A292" t="n">
        <v>87.36840057373047</v>
      </c>
      <c r="B292" t="n">
        <v>77.93019104003906</v>
      </c>
    </row>
    <row r="293">
      <c r="A293" t="n">
        <v>52.76833343505859</v>
      </c>
      <c r="B293" t="n">
        <v>77.40760040283203</v>
      </c>
    </row>
    <row r="294">
      <c r="A294" t="n">
        <v>254.6575164794922</v>
      </c>
      <c r="B294" t="n">
        <v>374.561767578125</v>
      </c>
    </row>
    <row r="295">
      <c r="A295" t="n">
        <v>142.6777191162109</v>
      </c>
      <c r="B295" t="n">
        <v>126.7763748168945</v>
      </c>
    </row>
    <row r="296">
      <c r="A296" t="n">
        <v>206.9105072021484</v>
      </c>
      <c r="B296" t="n">
        <v>205.2675170898437</v>
      </c>
    </row>
    <row r="297">
      <c r="A297" t="n">
        <v>90.52833557128906</v>
      </c>
      <c r="B297" t="n">
        <v>89.72945404052734</v>
      </c>
    </row>
    <row r="298">
      <c r="A298" t="n">
        <v>510.7169799804688</v>
      </c>
      <c r="B298" t="n">
        <v>400.5879516601562</v>
      </c>
    </row>
    <row r="299">
      <c r="A299" t="n">
        <v>75.08999633789062</v>
      </c>
      <c r="B299" t="n">
        <v>107.3046264648438</v>
      </c>
    </row>
    <row r="300">
      <c r="A300" t="n">
        <v>54.63666534423828</v>
      </c>
      <c r="B300" t="n">
        <v>56.88500213623047</v>
      </c>
    </row>
    <row r="301">
      <c r="A301" t="n">
        <v>54.34166717529297</v>
      </c>
      <c r="B301" t="n">
        <v>60.27210998535156</v>
      </c>
    </row>
    <row r="302">
      <c r="A302" t="n">
        <v>154.2166595458984</v>
      </c>
      <c r="B302" t="n">
        <v>120.3194808959961</v>
      </c>
    </row>
    <row r="303">
      <c r="A303" t="n">
        <v>354.1209716796875</v>
      </c>
      <c r="B303" t="n">
        <v>170.4135437011719</v>
      </c>
    </row>
    <row r="304">
      <c r="A304" t="n">
        <v>91.31500244140624</v>
      </c>
      <c r="B304" t="n">
        <v>73.17966461181641</v>
      </c>
    </row>
    <row r="305">
      <c r="A305" t="n">
        <v>61.0283317565918</v>
      </c>
      <c r="B305" t="n">
        <v>60.71376037597656</v>
      </c>
    </row>
    <row r="306">
      <c r="A306" t="n">
        <v>64.97219848632812</v>
      </c>
      <c r="B306" t="n">
        <v>60.79264450073242</v>
      </c>
    </row>
    <row r="307">
      <c r="A307" t="n">
        <v>88.31379699707031</v>
      </c>
      <c r="B307" t="n">
        <v>88.38091278076172</v>
      </c>
    </row>
    <row r="308">
      <c r="A308" t="n">
        <v>71.64833068847656</v>
      </c>
      <c r="B308" t="n">
        <v>80.20886993408203</v>
      </c>
    </row>
    <row r="309">
      <c r="A309" t="n">
        <v>74.10666656494141</v>
      </c>
      <c r="B309" t="n">
        <v>63.21772003173828</v>
      </c>
    </row>
    <row r="310">
      <c r="A310" t="n">
        <v>104.8533325195312</v>
      </c>
      <c r="B310" t="n">
        <v>85.4334716796875</v>
      </c>
    </row>
    <row r="311">
      <c r="A311" t="n">
        <v>341.1996765136719</v>
      </c>
      <c r="B311" t="n">
        <v>76.60083770751953</v>
      </c>
    </row>
    <row r="312">
      <c r="A312" t="n">
        <v>192.17333984375</v>
      </c>
      <c r="B312" t="n">
        <v>196.8102722167969</v>
      </c>
    </row>
    <row r="313">
      <c r="A313" t="n">
        <v>144.5686950683594</v>
      </c>
      <c r="B313" t="n">
        <v>118.3265075683594</v>
      </c>
    </row>
    <row r="314">
      <c r="A314" t="n">
        <v>559</v>
      </c>
      <c r="B314" t="n">
        <v>640.268310546875</v>
      </c>
    </row>
    <row r="315">
      <c r="A315" t="n">
        <v>277.3420715332031</v>
      </c>
      <c r="B315" t="n">
        <v>278.532470703125</v>
      </c>
    </row>
    <row r="316">
      <c r="A316" t="n">
        <v>336.6885681152344</v>
      </c>
      <c r="B316" t="n">
        <v>180.7629699707031</v>
      </c>
    </row>
    <row r="317">
      <c r="A317" t="n">
        <v>78.62999725341797</v>
      </c>
      <c r="B317" t="n">
        <v>70.48924255371094</v>
      </c>
    </row>
    <row r="318">
      <c r="A318" t="n">
        <v>99.67333221435548</v>
      </c>
      <c r="B318" t="n">
        <v>77.94278717041016</v>
      </c>
    </row>
    <row r="319">
      <c r="A319" t="n">
        <v>145.5141754150391</v>
      </c>
      <c r="B319" t="n">
        <v>127.6386642456055</v>
      </c>
    </row>
    <row r="320">
      <c r="A320" t="n">
        <v>79.51499938964844</v>
      </c>
      <c r="B320" t="n">
        <v>118.1892547607422</v>
      </c>
    </row>
    <row r="321">
      <c r="A321" t="n">
        <v>249.2209777832031</v>
      </c>
      <c r="B321" t="n">
        <v>184.819580078125</v>
      </c>
    </row>
    <row r="322">
      <c r="A322" t="n">
        <v>63.45779418945312</v>
      </c>
      <c r="B322" t="n">
        <v>78.29754638671875</v>
      </c>
    </row>
    <row r="323">
      <c r="A323" t="n">
        <v>264.5466613769531</v>
      </c>
      <c r="B323" t="n">
        <v>212.7879943847656</v>
      </c>
    </row>
    <row r="324">
      <c r="A324" t="n">
        <v>47.06499862670898</v>
      </c>
      <c r="B324" t="n">
        <v>64.79964447021484</v>
      </c>
    </row>
    <row r="325">
      <c r="A325" t="n">
        <v>324.8700256347656</v>
      </c>
      <c r="B325" t="n">
        <v>235.482925415039</v>
      </c>
    </row>
    <row r="326">
      <c r="A326" t="n">
        <v>63.09333419799805</v>
      </c>
      <c r="B326" t="n">
        <v>82.38745880126953</v>
      </c>
    </row>
    <row r="327">
      <c r="A327" t="n">
        <v>130.8133392333984</v>
      </c>
      <c r="B327" t="n">
        <v>94.28046417236328</v>
      </c>
    </row>
    <row r="328">
      <c r="A328" t="n">
        <v>74.69138336181641</v>
      </c>
      <c r="B328" t="n">
        <v>81.40367889404297</v>
      </c>
    </row>
    <row r="329">
      <c r="A329" t="n">
        <v>212.5962982177734</v>
      </c>
      <c r="B329" t="n">
        <v>212.2083282470703</v>
      </c>
    </row>
    <row r="330">
      <c r="A330" t="n">
        <v>59.95101547241211</v>
      </c>
      <c r="B330" t="n">
        <v>92.24769592285156</v>
      </c>
    </row>
    <row r="331">
      <c r="A331" t="n">
        <v>75.52349853515625</v>
      </c>
      <c r="B331" t="n">
        <v>85.23226165771484</v>
      </c>
    </row>
    <row r="332">
      <c r="A332" t="n">
        <v>312.0189514160156</v>
      </c>
      <c r="B332" t="n">
        <v>172.5243530273438</v>
      </c>
    </row>
    <row r="333">
      <c r="A333" t="n">
        <v>64.66666412353516</v>
      </c>
      <c r="B333" t="n">
        <v>74.51889801025391</v>
      </c>
    </row>
    <row r="334">
      <c r="A334" t="n">
        <v>189.0266723632812</v>
      </c>
      <c r="B334" t="n">
        <v>219.9644012451172</v>
      </c>
    </row>
    <row r="335">
      <c r="A335" t="n">
        <v>553.5592651367188</v>
      </c>
      <c r="B335" t="n">
        <v>528.7196044921875</v>
      </c>
    </row>
    <row r="336">
      <c r="A336" t="n">
        <v>69.68166351318359</v>
      </c>
      <c r="B336" t="n">
        <v>62.20919036865234</v>
      </c>
    </row>
    <row r="337">
      <c r="A337" t="n">
        <v>177.1879272460938</v>
      </c>
      <c r="B337" t="n">
        <v>161.7608489990234</v>
      </c>
    </row>
    <row r="338">
      <c r="A338" t="n">
        <v>69.58333587646484</v>
      </c>
      <c r="B338" t="n">
        <v>63.68885803222656</v>
      </c>
    </row>
    <row r="339">
      <c r="A339" t="n">
        <v>73.02500152587891</v>
      </c>
      <c r="B339" t="n">
        <v>71.25154113769531</v>
      </c>
    </row>
    <row r="340">
      <c r="A340" t="n">
        <v>43.42666625976562</v>
      </c>
      <c r="B340" t="n">
        <v>58.39170455932617</v>
      </c>
    </row>
    <row r="341">
      <c r="A341" t="n">
        <v>137.3033294677734</v>
      </c>
      <c r="B341" t="n">
        <v>52.97282791137695</v>
      </c>
    </row>
    <row r="342">
      <c r="A342" t="n">
        <v>144.4111022949219</v>
      </c>
      <c r="B342" t="n">
        <v>168.6786956787109</v>
      </c>
    </row>
    <row r="343">
      <c r="A343" t="n">
        <v>300.9407653808594</v>
      </c>
      <c r="B343" t="n">
        <v>141.9246826171875</v>
      </c>
    </row>
    <row r="344">
      <c r="A344" t="n">
        <v>71.94333648681641</v>
      </c>
      <c r="B344" t="n">
        <v>74.12273406982422</v>
      </c>
    </row>
    <row r="345">
      <c r="A345" t="n">
        <v>119.6709136962891</v>
      </c>
      <c r="B345" t="n">
        <v>141.6257781982422</v>
      </c>
    </row>
    <row r="346">
      <c r="A346" t="n">
        <v>62.60166549682617</v>
      </c>
      <c r="B346" t="n">
        <v>56.27970886230469</v>
      </c>
    </row>
    <row r="347">
      <c r="A347" t="n">
        <v>269.5204162597656</v>
      </c>
      <c r="B347" t="n">
        <v>181.1172180175781</v>
      </c>
    </row>
    <row r="348">
      <c r="A348" t="n">
        <v>72.55165100097656</v>
      </c>
      <c r="B348" t="n">
        <v>79.15930938720703</v>
      </c>
    </row>
    <row r="349">
      <c r="A349" t="n">
        <v>177.0303497314453</v>
      </c>
      <c r="B349" t="n">
        <v>169.5079193115234</v>
      </c>
    </row>
    <row r="350">
      <c r="A350" t="n">
        <v>160.4843597412109</v>
      </c>
      <c r="B350" t="n">
        <v>203.2277069091797</v>
      </c>
    </row>
    <row r="351">
      <c r="A351" t="n">
        <v>137.8933258056641</v>
      </c>
      <c r="B351" t="n">
        <v>139.1667633056641</v>
      </c>
    </row>
    <row r="352">
      <c r="A352" t="n">
        <v>134.1683502197266</v>
      </c>
      <c r="B352" t="n">
        <v>142.4946594238281</v>
      </c>
    </row>
    <row r="353">
      <c r="A353" t="n">
        <v>391.6448669433594</v>
      </c>
      <c r="B353" t="n">
        <v>370.7835998535156</v>
      </c>
    </row>
    <row r="354">
      <c r="A354" t="n">
        <v>95.34666442871094</v>
      </c>
      <c r="B354" t="n">
        <v>133.3814697265625</v>
      </c>
    </row>
    <row r="355">
      <c r="A355" t="n">
        <v>145.3565979003906</v>
      </c>
      <c r="B355" t="n">
        <v>160.4230804443359</v>
      </c>
    </row>
    <row r="356">
      <c r="A356" t="n">
        <v>57.48833465576172</v>
      </c>
      <c r="B356" t="n">
        <v>59.03945159912109</v>
      </c>
    </row>
    <row r="357">
      <c r="A357" t="n">
        <v>166.6300201416016</v>
      </c>
      <c r="B357" t="n">
        <v>112.4905166625977</v>
      </c>
    </row>
    <row r="358">
      <c r="A358" t="n">
        <v>69.75811767578125</v>
      </c>
      <c r="B358" t="n">
        <v>87.60817718505859</v>
      </c>
    </row>
    <row r="359">
      <c r="A359" t="n">
        <v>94.461669921875</v>
      </c>
      <c r="B359" t="n">
        <v>89.73867034912109</v>
      </c>
    </row>
    <row r="360">
      <c r="A360" t="n">
        <v>114.4899978637695</v>
      </c>
      <c r="B360" t="n">
        <v>76.43152618408203</v>
      </c>
    </row>
    <row r="361">
      <c r="A361" t="n">
        <v>145.2433166503906</v>
      </c>
      <c r="B361" t="n">
        <v>131.6907196044922</v>
      </c>
    </row>
    <row r="362">
      <c r="A362" t="n">
        <v>150.8719329833984</v>
      </c>
      <c r="B362" t="n">
        <v>194.1228179931641</v>
      </c>
    </row>
    <row r="363">
      <c r="A363" t="n">
        <v>114.7859039306641</v>
      </c>
      <c r="B363" t="n">
        <v>119.2001266479492</v>
      </c>
    </row>
    <row r="364">
      <c r="A364" t="n">
        <v>68.89499664306641</v>
      </c>
      <c r="B364" t="n">
        <v>60.46268844604492</v>
      </c>
    </row>
    <row r="365">
      <c r="A365" t="n">
        <v>303.4953918457031</v>
      </c>
      <c r="B365" t="n">
        <v>280.1494140625</v>
      </c>
    </row>
    <row r="366">
      <c r="A366" t="n">
        <v>345.712158203125</v>
      </c>
      <c r="B366" t="n">
        <v>190.2063903808593</v>
      </c>
    </row>
    <row r="367">
      <c r="A367" t="n">
        <v>230.7200012207031</v>
      </c>
      <c r="B367" t="n">
        <v>283.3798828125</v>
      </c>
    </row>
    <row r="368">
      <c r="A368" t="n">
        <v>68.59999847412109</v>
      </c>
      <c r="B368" t="n">
        <v>64.41927337646484</v>
      </c>
    </row>
    <row r="369">
      <c r="A369" t="n">
        <v>292.0799865722656</v>
      </c>
      <c r="B369" t="n">
        <v>318.7789916992188</v>
      </c>
    </row>
    <row r="370">
      <c r="A370" t="n">
        <v>197.2007141113281</v>
      </c>
      <c r="B370" t="n">
        <v>160.0892944335938</v>
      </c>
    </row>
    <row r="371">
      <c r="A371" t="n">
        <v>87.66179656982422</v>
      </c>
      <c r="B371" t="n">
        <v>70.72509765625</v>
      </c>
    </row>
    <row r="372">
      <c r="A372" t="n">
        <v>80.7933349609375</v>
      </c>
      <c r="B372" t="n">
        <v>69.87937164306641</v>
      </c>
    </row>
    <row r="373">
      <c r="A373" t="n">
        <v>68.68824768066406</v>
      </c>
      <c r="B373" t="n">
        <v>74.431640625</v>
      </c>
    </row>
    <row r="374">
      <c r="A374" t="n">
        <v>72.67052459716797</v>
      </c>
      <c r="B374" t="n">
        <v>70.35390472412109</v>
      </c>
    </row>
    <row r="375">
      <c r="A375" t="n">
        <v>49.91666793823242</v>
      </c>
      <c r="B375" t="n">
        <v>69.77799224853516</v>
      </c>
    </row>
    <row r="376">
      <c r="A376" t="n">
        <v>75.5816650390625</v>
      </c>
      <c r="B376" t="n">
        <v>59.74550628662109</v>
      </c>
    </row>
    <row r="377">
      <c r="A377" t="n">
        <v>63.09333419799805</v>
      </c>
      <c r="B377" t="n">
        <v>122.5663833618164</v>
      </c>
    </row>
    <row r="378">
      <c r="A378" t="n">
        <v>353.530029296875</v>
      </c>
      <c r="B378" t="n">
        <v>287.93994140625</v>
      </c>
    </row>
    <row r="379">
      <c r="A379" t="n">
        <v>72.82833099365234</v>
      </c>
      <c r="B379" t="n">
        <v>70.573486328125</v>
      </c>
    </row>
    <row r="380">
      <c r="A380" t="n">
        <v>79.80999755859375</v>
      </c>
      <c r="B380" t="n">
        <v>102.2067794799805</v>
      </c>
    </row>
    <row r="381">
      <c r="A381" t="n">
        <v>62.20833206176758</v>
      </c>
      <c r="B381" t="n">
        <v>73.03864288330078</v>
      </c>
    </row>
    <row r="382">
      <c r="A382" t="n">
        <v>75.87666320800781</v>
      </c>
      <c r="B382" t="n">
        <v>78.20635986328125</v>
      </c>
    </row>
    <row r="383">
      <c r="A383" t="n">
        <v>324.4046020507812</v>
      </c>
      <c r="B383" t="n">
        <v>70.44252014160156</v>
      </c>
    </row>
    <row r="384">
      <c r="A384" t="n">
        <v>96.33000183105467</v>
      </c>
      <c r="B384" t="n">
        <v>64.88368988037109</v>
      </c>
    </row>
    <row r="385">
      <c r="A385" t="n">
        <v>76.36833190917969</v>
      </c>
      <c r="B385" t="n">
        <v>67.47354888916016</v>
      </c>
    </row>
    <row r="386">
      <c r="A386" t="n">
        <v>144.2535247802734</v>
      </c>
      <c r="B386" t="n">
        <v>148.0046997070312</v>
      </c>
    </row>
    <row r="387">
      <c r="A387" t="n">
        <v>352.93212890625</v>
      </c>
      <c r="B387" t="n">
        <v>243.240234375</v>
      </c>
    </row>
    <row r="388">
      <c r="A388" t="n">
        <v>108.7866668701172</v>
      </c>
      <c r="B388" t="n">
        <v>83.16313934326172</v>
      </c>
    </row>
    <row r="389">
      <c r="A389" t="n">
        <v>58.56999969482422</v>
      </c>
      <c r="B389" t="n">
        <v>68.65453338623047</v>
      </c>
    </row>
    <row r="390">
      <c r="A390" t="n">
        <v>74.51306915283203</v>
      </c>
      <c r="B390" t="n">
        <v>110.0274887084961</v>
      </c>
    </row>
    <row r="391">
      <c r="A391" t="n">
        <v>65.25666809082031</v>
      </c>
      <c r="B391" t="n">
        <v>94.53282928466795</v>
      </c>
    </row>
    <row r="392">
      <c r="A392" t="n">
        <v>218.0199584960937</v>
      </c>
      <c r="B392" t="n">
        <v>282.5955505371094</v>
      </c>
    </row>
    <row r="393">
      <c r="A393" t="n">
        <v>67.81333160400391</v>
      </c>
      <c r="B393" t="n">
        <v>81.19293975830078</v>
      </c>
    </row>
    <row r="394">
      <c r="A394" t="n">
        <v>50.70333480834961</v>
      </c>
      <c r="B394" t="n">
        <v>62.17206573486328</v>
      </c>
    </row>
    <row r="395">
      <c r="A395" t="n">
        <v>220.1473083496093</v>
      </c>
      <c r="B395" t="n">
        <v>135.67138671875</v>
      </c>
    </row>
    <row r="396">
      <c r="A396" t="n">
        <v>144.2535247802734</v>
      </c>
      <c r="B396" t="n">
        <v>92.57621002197266</v>
      </c>
    </row>
    <row r="397">
      <c r="A397" t="n">
        <v>66.14167022705078</v>
      </c>
      <c r="B397" t="n">
        <v>144.7306823730469</v>
      </c>
    </row>
    <row r="398">
      <c r="A398" t="n">
        <v>128.0599975585938</v>
      </c>
      <c r="B398" t="n">
        <v>64.92359161376953</v>
      </c>
    </row>
    <row r="399">
      <c r="A399" t="n">
        <v>85.02166748046875</v>
      </c>
      <c r="B399" t="n">
        <v>130.0826721191406</v>
      </c>
    </row>
    <row r="400">
      <c r="A400" t="n">
        <v>86.48678588867188</v>
      </c>
      <c r="B400" t="n">
        <v>176.6795654296875</v>
      </c>
    </row>
    <row r="401">
      <c r="A401" t="n">
        <v>125.5014038085938</v>
      </c>
      <c r="B401" t="n">
        <v>174.4057159423828</v>
      </c>
    </row>
    <row r="402">
      <c r="A402" t="n">
        <v>267.8943176269531</v>
      </c>
      <c r="B402" t="n">
        <v>183.7234191894531</v>
      </c>
    </row>
    <row r="403">
      <c r="A403" t="n">
        <v>62.89666748046875</v>
      </c>
      <c r="B403" t="n">
        <v>62.73123168945312</v>
      </c>
    </row>
    <row r="404">
      <c r="A404" t="n">
        <v>85.85995483398438</v>
      </c>
      <c r="B404" t="n">
        <v>109.4621658325195</v>
      </c>
    </row>
    <row r="405">
      <c r="A405" t="n">
        <v>96.13333129882812</v>
      </c>
      <c r="B405" t="n">
        <v>123.9897994995117</v>
      </c>
    </row>
    <row r="406">
      <c r="A406" t="n">
        <v>63.09333419799805</v>
      </c>
      <c r="B406" t="n">
        <v>90.90019989013672</v>
      </c>
    </row>
    <row r="407">
      <c r="A407" t="n">
        <v>120.5277328491211</v>
      </c>
      <c r="B407" t="n">
        <v>87.05033111572266</v>
      </c>
    </row>
    <row r="408">
      <c r="A408" t="n">
        <v>323.651123046875</v>
      </c>
      <c r="B408" t="n">
        <v>333.32666015625</v>
      </c>
    </row>
    <row r="409">
      <c r="A409" t="n">
        <v>124.716667175293</v>
      </c>
      <c r="B409" t="n">
        <v>80.65927886962891</v>
      </c>
    </row>
    <row r="410">
      <c r="A410" t="n">
        <v>275.6039123535156</v>
      </c>
      <c r="B410" t="n">
        <v>257.1251220703125</v>
      </c>
    </row>
    <row r="411">
      <c r="A411" t="n">
        <v>339.1546020507812</v>
      </c>
      <c r="B411" t="n">
        <v>80.77218627929688</v>
      </c>
    </row>
    <row r="412">
      <c r="A412" t="n">
        <v>49.62166595458984</v>
      </c>
      <c r="B412" t="n">
        <v>51.06681442260742</v>
      </c>
    </row>
    <row r="413">
      <c r="A413" t="n">
        <v>114.1555786132812</v>
      </c>
      <c r="B413" t="n">
        <v>168.1988525390625</v>
      </c>
    </row>
    <row r="414">
      <c r="A414" t="n">
        <v>74.69666290283203</v>
      </c>
      <c r="B414" t="n">
        <v>55.98817443847656</v>
      </c>
    </row>
    <row r="415">
      <c r="A415" t="n">
        <v>213.0308227539062</v>
      </c>
      <c r="B415" t="n">
        <v>187.1660003662109</v>
      </c>
    </row>
    <row r="416">
      <c r="A416" t="n">
        <v>68.99333190917969</v>
      </c>
      <c r="B416" t="n">
        <v>77.43568420410156</v>
      </c>
    </row>
    <row r="417">
      <c r="A417" t="n">
        <v>80.40000152587891</v>
      </c>
      <c r="B417" t="n">
        <v>79.08188629150391</v>
      </c>
    </row>
    <row r="418">
      <c r="A418" t="n">
        <v>43.13166809082031</v>
      </c>
      <c r="B418" t="n">
        <v>75.24568939208984</v>
      </c>
    </row>
    <row r="419">
      <c r="A419" t="n">
        <v>268.8733215332031</v>
      </c>
      <c r="B419" t="n">
        <v>214.5792083740234</v>
      </c>
    </row>
    <row r="420">
      <c r="A420" t="n">
        <v>114.6866683959961</v>
      </c>
      <c r="B420" t="n">
        <v>97.87510681152344</v>
      </c>
    </row>
    <row r="421">
      <c r="A421" t="n">
        <v>123.0325393676758</v>
      </c>
      <c r="B421" t="n">
        <v>147.1614379882812</v>
      </c>
    </row>
    <row r="422">
      <c r="A422" t="n">
        <v>74.03757476806641</v>
      </c>
      <c r="B422" t="n">
        <v>88.40290069580078</v>
      </c>
    </row>
    <row r="423">
      <c r="A423" t="n">
        <v>66.33833312988281</v>
      </c>
      <c r="B423" t="n">
        <v>86.61969757080078</v>
      </c>
    </row>
    <row r="424">
      <c r="A424" t="n">
        <v>370.10693359375</v>
      </c>
      <c r="B424" t="n">
        <v>123.5123901367188</v>
      </c>
    </row>
    <row r="425">
      <c r="A425" t="n">
        <v>133.2228698730469</v>
      </c>
      <c r="B425" t="n">
        <v>105.0194702148438</v>
      </c>
    </row>
    <row r="426">
      <c r="A426" t="n">
        <v>120.3351287841797</v>
      </c>
      <c r="B426" t="n">
        <v>81.18120574951172</v>
      </c>
    </row>
    <row r="427">
      <c r="A427" t="n">
        <v>63.10117340087891</v>
      </c>
      <c r="B427" t="n">
        <v>94.12848663330078</v>
      </c>
    </row>
    <row r="428">
      <c r="A428" t="n">
        <v>41.85333251953125</v>
      </c>
      <c r="B428" t="n">
        <v>140.4760284423828</v>
      </c>
    </row>
    <row r="429">
      <c r="A429" t="n">
        <v>149.5886688232422</v>
      </c>
      <c r="B429" t="n">
        <v>147.2513732910156</v>
      </c>
    </row>
    <row r="430">
      <c r="A430" t="n">
        <v>234.7575988769531</v>
      </c>
      <c r="B430" t="n">
        <v>173.3475036621094</v>
      </c>
    </row>
    <row r="431">
      <c r="A431" t="n">
        <v>68.98543548583984</v>
      </c>
      <c r="B431" t="n">
        <v>117.9116058349609</v>
      </c>
    </row>
    <row r="432">
      <c r="A432" t="n">
        <v>70.59023284912109</v>
      </c>
      <c r="B432" t="n">
        <v>86.61975860595703</v>
      </c>
    </row>
    <row r="433">
      <c r="A433" t="n">
        <v>68.56937408447266</v>
      </c>
      <c r="B433" t="n">
        <v>185.7681732177734</v>
      </c>
    </row>
    <row r="434">
      <c r="A434" t="n">
        <v>206.5128021240234</v>
      </c>
      <c r="B434" t="n">
        <v>165.4220581054688</v>
      </c>
    </row>
    <row r="435">
      <c r="A435" t="n">
        <v>73.68095397949219</v>
      </c>
      <c r="B435" t="n">
        <v>78.89177703857422</v>
      </c>
    </row>
    <row r="436">
      <c r="A436" t="n">
        <v>69.57980346679688</v>
      </c>
      <c r="B436" t="n">
        <v>110.8812789916992</v>
      </c>
    </row>
    <row r="437">
      <c r="A437" t="n">
        <v>82.9566650390625</v>
      </c>
      <c r="B437" t="n">
        <v>85.09178924560547</v>
      </c>
    </row>
    <row r="438">
      <c r="A438" t="n">
        <v>99.67333221435548</v>
      </c>
      <c r="B438" t="n">
        <v>89.31583404541016</v>
      </c>
    </row>
    <row r="439">
      <c r="A439" t="n">
        <v>189.8133392333984</v>
      </c>
      <c r="B439" t="n">
        <v>165.4622344970703</v>
      </c>
    </row>
    <row r="440">
      <c r="A440" t="n">
        <v>308.6095275878906</v>
      </c>
      <c r="B440" t="n">
        <v>197.1951293945312</v>
      </c>
    </row>
    <row r="441">
      <c r="A441" t="n">
        <v>155.5933380126953</v>
      </c>
      <c r="B441" t="n">
        <v>134.40673828125</v>
      </c>
    </row>
    <row r="442">
      <c r="A442" t="n">
        <v>125.8165664672852</v>
      </c>
      <c r="B442" t="n">
        <v>137.98681640625</v>
      </c>
    </row>
    <row r="443">
      <c r="A443" t="n">
        <v>39.98500061035156</v>
      </c>
      <c r="B443" t="n">
        <v>51.33539199829102</v>
      </c>
    </row>
    <row r="444">
      <c r="A444" t="n">
        <v>207.3832550048828</v>
      </c>
      <c r="B444" t="n">
        <v>205.0706024169922</v>
      </c>
    </row>
    <row r="445">
      <c r="A445" t="n">
        <v>52.714599609375</v>
      </c>
      <c r="B445" t="n">
        <v>65.70448303222656</v>
      </c>
    </row>
    <row r="446">
      <c r="A446" t="n">
        <v>131.9933319091797</v>
      </c>
      <c r="B446" t="n">
        <v>98.27533721923828</v>
      </c>
    </row>
    <row r="447">
      <c r="A447" t="n">
        <v>89.93833160400391</v>
      </c>
      <c r="B447" t="n">
        <v>100.6585464477539</v>
      </c>
    </row>
    <row r="448">
      <c r="A448" t="n">
        <v>45.59000015258789</v>
      </c>
      <c r="B448" t="n">
        <v>55.93904113769531</v>
      </c>
    </row>
    <row r="449">
      <c r="A449" t="n">
        <v>131.2066650390625</v>
      </c>
      <c r="B449" t="n">
        <v>146.1367797851562</v>
      </c>
    </row>
    <row r="450">
      <c r="A450" t="n">
        <v>238.8206481933593</v>
      </c>
      <c r="B450" t="n">
        <v>378.3432006835938</v>
      </c>
    </row>
    <row r="451">
      <c r="A451" t="n">
        <v>213.2925415039062</v>
      </c>
      <c r="B451" t="n">
        <v>276.7315368652344</v>
      </c>
    </row>
    <row r="452">
      <c r="A452" t="n">
        <v>346.9153747558594</v>
      </c>
      <c r="B452" t="n">
        <v>344.22265625</v>
      </c>
    </row>
    <row r="453">
      <c r="A453" t="n">
        <v>134.9033660888672</v>
      </c>
      <c r="B453" t="n">
        <v>71.56017303466797</v>
      </c>
    </row>
    <row r="454">
      <c r="A454" t="n">
        <v>145.1990203857422</v>
      </c>
      <c r="B454" t="n">
        <v>248.3223876953125</v>
      </c>
    </row>
    <row r="455">
      <c r="A455" t="n">
        <v>120.4588165283203</v>
      </c>
      <c r="B455" t="n">
        <v>144.1846618652344</v>
      </c>
    </row>
    <row r="456">
      <c r="A456" t="n">
        <v>93.87166595458984</v>
      </c>
      <c r="B456" t="n">
        <v>216.2906951904297</v>
      </c>
    </row>
    <row r="457">
      <c r="A457" t="n">
        <v>99.45397186279295</v>
      </c>
      <c r="B457" t="n">
        <v>115.7819442749023</v>
      </c>
    </row>
    <row r="458">
      <c r="A458" t="n">
        <v>136.3744812011719</v>
      </c>
      <c r="B458" t="n">
        <v>258.7401733398437</v>
      </c>
    </row>
    <row r="459">
      <c r="A459" t="n">
        <v>93.97000122070312</v>
      </c>
      <c r="B459" t="n">
        <v>68.765869140625</v>
      </c>
    </row>
    <row r="460">
      <c r="A460" t="n">
        <v>91.39317321777344</v>
      </c>
      <c r="B460" t="n">
        <v>110.9494857788086</v>
      </c>
    </row>
    <row r="461">
      <c r="A461" t="n">
        <v>240.356674194336</v>
      </c>
      <c r="B461" t="n">
        <v>87.20658111572266</v>
      </c>
    </row>
    <row r="462">
      <c r="A462" t="n">
        <v>116.6533355712891</v>
      </c>
      <c r="B462" t="n">
        <v>78.90909576416016</v>
      </c>
    </row>
    <row r="463">
      <c r="A463" t="n">
        <v>161.1000061035156</v>
      </c>
      <c r="B463" t="n">
        <v>89.63905334472656</v>
      </c>
    </row>
    <row r="464">
      <c r="A464" t="n">
        <v>193.4187622070312</v>
      </c>
      <c r="B464" t="n">
        <v>170.2272644042969</v>
      </c>
    </row>
    <row r="465">
      <c r="A465" t="n">
        <v>180.8123016357422</v>
      </c>
      <c r="B465" t="n">
        <v>195.1722106933593</v>
      </c>
    </row>
    <row r="466">
      <c r="A466" t="n">
        <v>186.4851989746093</v>
      </c>
      <c r="B466" t="n">
        <v>156.4995727539062</v>
      </c>
    </row>
    <row r="467">
      <c r="A467" t="n">
        <v>80.30166625976562</v>
      </c>
      <c r="B467" t="n">
        <v>88.94398498535156</v>
      </c>
    </row>
    <row r="468">
      <c r="A468" t="n">
        <v>70.47135925292969</v>
      </c>
      <c r="B468" t="n">
        <v>61.89555358886719</v>
      </c>
    </row>
    <row r="469">
      <c r="A469" t="n">
        <v>71.55000305175781</v>
      </c>
      <c r="B469" t="n">
        <v>81.08065032958984</v>
      </c>
    </row>
    <row r="470">
      <c r="A470" t="n">
        <v>268.086669921875</v>
      </c>
      <c r="B470" t="n">
        <v>123.365852355957</v>
      </c>
    </row>
    <row r="471">
      <c r="A471" t="n">
        <v>132.7501220703125</v>
      </c>
      <c r="B471" t="n">
        <v>173.6224517822266</v>
      </c>
    </row>
    <row r="472">
      <c r="A472" t="n">
        <v>63.88000106811523</v>
      </c>
      <c r="B472" t="n">
        <v>59.84102630615234</v>
      </c>
    </row>
    <row r="473">
      <c r="A473" t="n">
        <v>75.5816650390625</v>
      </c>
      <c r="B473" t="n">
        <v>63.6848258972168</v>
      </c>
    </row>
    <row r="474">
      <c r="A474" t="n">
        <v>317.7788391113281</v>
      </c>
      <c r="B474" t="n">
        <v>235.6407623291016</v>
      </c>
    </row>
    <row r="475">
      <c r="A475" t="n">
        <v>67.71499633789062</v>
      </c>
      <c r="B475" t="n">
        <v>67.16593170166016</v>
      </c>
    </row>
    <row r="476">
      <c r="A476" t="n">
        <v>82.9566650390625</v>
      </c>
      <c r="B476" t="n">
        <v>69.47601318359375</v>
      </c>
    </row>
    <row r="477">
      <c r="A477" t="n">
        <v>65.35500335693359</v>
      </c>
      <c r="B477" t="n">
        <v>73.43489837646484</v>
      </c>
    </row>
    <row r="478">
      <c r="A478" t="n">
        <v>599.9471435546875</v>
      </c>
      <c r="B478" t="n">
        <v>483.9279174804688</v>
      </c>
    </row>
    <row r="479">
      <c r="A479" t="n">
        <v>141.2594909667969</v>
      </c>
      <c r="B479" t="n">
        <v>158.8355560302734</v>
      </c>
    </row>
    <row r="480">
      <c r="A480" t="n">
        <v>69.09166717529297</v>
      </c>
      <c r="B480" t="n">
        <v>67.87977600097656</v>
      </c>
    </row>
    <row r="481">
      <c r="A481" t="n">
        <v>68.01000213623047</v>
      </c>
      <c r="B481" t="n">
        <v>52.36249542236328</v>
      </c>
    </row>
    <row r="482">
      <c r="A482" t="n">
        <v>82.46499633789062</v>
      </c>
      <c r="B482" t="n">
        <v>56.45614624023438</v>
      </c>
    </row>
    <row r="483">
      <c r="A483" t="n">
        <v>422.3731689453125</v>
      </c>
      <c r="B483" t="n">
        <v>287.6536560058594</v>
      </c>
    </row>
    <row r="484">
      <c r="A484" t="n">
        <v>72.37334442138672</v>
      </c>
      <c r="B484" t="n">
        <v>72.87555694580078</v>
      </c>
    </row>
    <row r="485">
      <c r="A485" t="n">
        <v>209.9890747070312</v>
      </c>
      <c r="B485" t="n">
        <v>204.3345184326172</v>
      </c>
    </row>
    <row r="486">
      <c r="A486" t="n">
        <v>209.0378570556641</v>
      </c>
      <c r="B486" t="n">
        <v>195.7755432128907</v>
      </c>
    </row>
    <row r="487">
      <c r="A487" t="n">
        <v>41.45999908447266</v>
      </c>
      <c r="B487" t="n">
        <v>46.46073913574219</v>
      </c>
    </row>
    <row r="488">
      <c r="A488" t="n">
        <v>105.6399993896484</v>
      </c>
      <c r="B488" t="n">
        <v>88.34659576416016</v>
      </c>
    </row>
    <row r="489">
      <c r="A489" t="n">
        <v>373.6216125488281</v>
      </c>
      <c r="B489" t="n">
        <v>523.5794067382812</v>
      </c>
    </row>
    <row r="490">
      <c r="A490" t="n">
        <v>89.93833160400391</v>
      </c>
      <c r="B490" t="n">
        <v>58.99957275390625</v>
      </c>
    </row>
    <row r="491">
      <c r="A491" t="n">
        <v>155.5933380126953</v>
      </c>
      <c r="B491" t="n">
        <v>88.62683868408203</v>
      </c>
    </row>
    <row r="492">
      <c r="A492" t="n">
        <v>66.92833709716797</v>
      </c>
      <c r="B492" t="n">
        <v>82.59080505371094</v>
      </c>
    </row>
    <row r="493">
      <c r="A493" t="n">
        <v>47.85166549682617</v>
      </c>
      <c r="B493" t="n">
        <v>53.45082855224609</v>
      </c>
    </row>
    <row r="494">
      <c r="A494" t="n">
        <v>87.97166442871094</v>
      </c>
      <c r="B494" t="n">
        <v>83.63869476318359</v>
      </c>
    </row>
    <row r="495">
      <c r="A495" t="n">
        <v>63.97833251953125</v>
      </c>
      <c r="B495" t="n">
        <v>88.39054870605469</v>
      </c>
    </row>
    <row r="496">
      <c r="A496" t="n">
        <v>479.3977966308594</v>
      </c>
      <c r="B496" t="n">
        <v>337.545166015625</v>
      </c>
    </row>
    <row r="497">
      <c r="A497" t="n">
        <v>62.01166534423828</v>
      </c>
      <c r="B497" t="n">
        <v>60.75572967529297</v>
      </c>
    </row>
    <row r="498">
      <c r="A498" t="n">
        <v>339.8807678222656</v>
      </c>
      <c r="B498" t="n">
        <v>65.40061187744141</v>
      </c>
    </row>
    <row r="499">
      <c r="A499" t="n">
        <v>300.5873413085937</v>
      </c>
      <c r="B499" t="n">
        <v>161.4014739990234</v>
      </c>
    </row>
    <row r="500">
      <c r="A500" t="n">
        <v>94.78107452392578</v>
      </c>
      <c r="B500" t="n">
        <v>103.3805770874023</v>
      </c>
    </row>
    <row r="501">
      <c r="A501" t="n">
        <v>66.83000183105469</v>
      </c>
      <c r="B501" t="n">
        <v>67.22293853759766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2026-05-08T12:35:07Z</dcterms:created>
  <dcterms:modified xsi:type="dcterms:W3CDTF">2026-05-08T12:35:07Z</dcterms:modified>
</cp:coreProperties>
</file>